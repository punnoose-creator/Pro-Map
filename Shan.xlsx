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ily Log" sheetId="2" state="visible" r:id="rId2"/>
    <sheet xmlns:r="http://schemas.openxmlformats.org/officeDocument/2006/relationships" name="Inquiry &amp; Proposals" sheetId="3" state="visible" r:id="rId3"/>
    <sheet xmlns:r="http://schemas.openxmlformats.org/officeDocument/2006/relationships" name="Subcontractor Quotes" sheetId="4" state="visible" r:id="rId4"/>
    <sheet xmlns:r="http://schemas.openxmlformats.org/officeDocument/2006/relationships" name="Win-Loss Register" sheetId="5" state="visible" r:id="rId5"/>
    <sheet xmlns:r="http://schemas.openxmlformats.org/officeDocument/2006/relationships" name="Pending Follow-ups" sheetId="6" state="visible" r:id="rId6"/>
  </sheets>
  <definedNames/>
  <calcPr calcId="124519" fullCalcOnLoad="1"/>
</workbook>
</file>

<file path=xl/styles.xml><?xml version="1.0" encoding="utf-8"?>
<styleSheet xmlns="http://schemas.openxmlformats.org/spreadsheetml/2006/main">
  <numFmts count="2">
    <numFmt numFmtId="164" formatCode="DD-MMM-YY"/>
    <numFmt numFmtId="165" formatCode="0.0"/>
  </numFmts>
  <fonts count="24">
    <font>
      <name val="Calibri"/>
      <family val="2"/>
      <color theme="1"/>
      <sz val="11"/>
      <scheme val="minor"/>
    </font>
    <font>
      <name val="Arial"/>
      <b val="1"/>
      <color rgb="00FFFFFF"/>
      <sz val="13"/>
    </font>
    <font>
      <name val="Arial"/>
      <i val="1"/>
      <color rgb="00AAAAAA"/>
      <sz val="8"/>
    </font>
    <font>
      <name val="Arial"/>
      <b val="1"/>
      <color rgb="00FFFFFF"/>
      <sz val="9"/>
    </font>
    <font>
      <name val="Arial"/>
      <b val="1"/>
      <color rgb="000D1B2A"/>
      <sz val="11"/>
    </font>
    <font>
      <name val="Arial"/>
      <b val="1"/>
      <color rgb="00FFFFFF"/>
      <sz val="8"/>
    </font>
    <font>
      <name val="Arial"/>
      <b val="1"/>
      <color rgb="002C3E50"/>
      <sz val="9"/>
    </font>
    <font>
      <name val="Arial"/>
      <b val="1"/>
      <color rgb="000D1B2A"/>
      <sz val="12"/>
    </font>
    <font>
      <name val="Arial"/>
      <color rgb="002C3E50"/>
      <sz val="9"/>
    </font>
    <font>
      <name val="Arial"/>
      <b val="1"/>
      <color rgb="001E8449"/>
      <sz val="9"/>
    </font>
    <font>
      <name val="Arial"/>
      <b val="1"/>
      <color rgb="000D1B2A"/>
      <sz val="10"/>
    </font>
    <font>
      <name val="Arial"/>
      <b val="1"/>
      <color rgb="000D1B2A"/>
      <sz val="9"/>
    </font>
    <font>
      <name val="Arial"/>
      <b val="1"/>
      <color rgb="00FFFFFF"/>
      <sz val="11"/>
    </font>
    <font>
      <name val="Arial"/>
      <b val="1"/>
      <color rgb="00FFFFFF"/>
      <sz val="10"/>
    </font>
    <font>
      <name val="Arial"/>
      <i val="1"/>
      <color rgb="001B4F72"/>
      <sz val="9"/>
    </font>
    <font>
      <name val="Arial"/>
      <b val="1"/>
      <color rgb="00FFFFFF"/>
      <sz val="12"/>
    </font>
    <font>
      <name val="Arial"/>
      <sz val="9"/>
    </font>
    <font>
      <name val="Arial"/>
      <color rgb="00B7950B"/>
      <sz val="9"/>
    </font>
    <font>
      <name val="Arial"/>
      <b val="1"/>
      <color rgb="006C3483"/>
      <sz val="9"/>
    </font>
    <font>
      <name val="Arial"/>
      <b val="1"/>
      <color rgb="00B7950B"/>
      <sz val="9"/>
    </font>
    <font>
      <name val="Arial"/>
      <b val="1"/>
      <color rgb="001E8449"/>
      <sz val="11"/>
    </font>
    <font>
      <name val="Arial"/>
      <b val="1"/>
      <color rgb="00C0392B"/>
      <sz val="11"/>
    </font>
    <font>
      <name val="Arial"/>
      <b val="1"/>
      <color rgb="00C0392B"/>
      <sz val="9"/>
    </font>
    <font>
      <name val="Arial"/>
      <i val="1"/>
      <color rgb="00B7950B"/>
      <sz val="9"/>
    </font>
  </fonts>
  <fills count="17">
    <fill>
      <patternFill/>
    </fill>
    <fill>
      <patternFill patternType="gray125"/>
    </fill>
    <fill>
      <patternFill patternType="solid">
        <fgColor rgb="000D1B2A"/>
      </patternFill>
    </fill>
    <fill>
      <patternFill patternType="solid">
        <fgColor rgb="001B4F72"/>
      </patternFill>
    </fill>
    <fill>
      <patternFill patternType="solid">
        <fgColor rgb="00D6EAF8"/>
      </patternFill>
    </fill>
    <fill>
      <patternFill patternType="solid">
        <fgColor rgb="002E86C1"/>
      </patternFill>
    </fill>
    <fill>
      <patternFill patternType="solid">
        <fgColor rgb="00D5F5E3"/>
      </patternFill>
    </fill>
    <fill>
      <patternFill patternType="solid">
        <fgColor rgb="00FEF9E7"/>
      </patternFill>
    </fill>
    <fill>
      <patternFill patternType="solid">
        <fgColor rgb="00FADBD8"/>
      </patternFill>
    </fill>
    <fill>
      <patternFill patternType="solid">
        <fgColor rgb="001E8449"/>
      </patternFill>
    </fill>
    <fill>
      <patternFill patternType="solid">
        <fgColor rgb="00FFFFFF"/>
      </patternFill>
    </fill>
    <fill>
      <patternFill patternType="solid">
        <fgColor rgb="001A5276"/>
      </patternFill>
    </fill>
    <fill>
      <patternFill patternType="solid">
        <fgColor rgb="00EBF5FB"/>
      </patternFill>
    </fill>
    <fill>
      <patternFill patternType="solid">
        <fgColor rgb="00F2F3F4"/>
      </patternFill>
    </fill>
    <fill>
      <patternFill patternType="solid">
        <fgColor rgb="006C3483"/>
      </patternFill>
    </fill>
    <fill>
      <patternFill patternType="solid">
        <fgColor rgb="00E8DAEF"/>
      </patternFill>
    </fill>
    <fill>
      <patternFill patternType="solid">
        <fgColor rgb="00C0392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xf>
    <xf numFmtId="0" fontId="3" fillId="3" borderId="1" applyAlignment="1" pivotButton="0" quotePrefix="0" xfId="0">
      <alignment horizontal="right" vertical="center"/>
    </xf>
    <xf numFmtId="0" fontId="0" fillId="0" borderId="1" pivotButton="0" quotePrefix="0" xfId="0"/>
    <xf numFmtId="0" fontId="4" fillId="4" borderId="1" applyAlignment="1" pivotButton="0" quotePrefix="0" xfId="0">
      <alignment horizontal="center" vertical="center" wrapText="1"/>
    </xf>
    <xf numFmtId="0" fontId="3" fillId="5"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left"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9" fontId="6" fillId="4" borderId="1" applyAlignment="1" pivotButton="0" quotePrefix="0" xfId="0">
      <alignment horizontal="center" vertical="center"/>
    </xf>
    <xf numFmtId="9" fontId="9" fillId="4" borderId="1" applyAlignment="1" pivotButton="0" quotePrefix="0" xfId="0">
      <alignment horizontal="center" vertical="center"/>
    </xf>
    <xf numFmtId="0" fontId="6" fillId="4" borderId="1" applyAlignment="1" pivotButton="0" quotePrefix="0" xfId="0">
      <alignment horizontal="center" vertical="center"/>
    </xf>
    <xf numFmtId="0" fontId="6" fillId="6" borderId="1" applyAlignment="1" pivotButton="0" quotePrefix="0" xfId="0">
      <alignment horizontal="left" vertical="center"/>
    </xf>
    <xf numFmtId="0" fontId="7" fillId="6" borderId="1" applyAlignment="1" pivotButton="0" quotePrefix="0" xfId="0">
      <alignment horizontal="center" vertical="center"/>
    </xf>
    <xf numFmtId="0" fontId="8" fillId="6" borderId="1" applyAlignment="1" pivotButton="0" quotePrefix="0" xfId="0">
      <alignment horizontal="center" vertical="center"/>
    </xf>
    <xf numFmtId="9" fontId="6" fillId="6" borderId="1" applyAlignment="1" pivotButton="0" quotePrefix="0" xfId="0">
      <alignment horizontal="center" vertical="center"/>
    </xf>
    <xf numFmtId="9" fontId="9" fillId="6"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left" vertical="center"/>
    </xf>
    <xf numFmtId="0" fontId="7" fillId="7" borderId="1" applyAlignment="1" pivotButton="0" quotePrefix="0" xfId="0">
      <alignment horizontal="center" vertical="center"/>
    </xf>
    <xf numFmtId="0" fontId="8" fillId="7" borderId="1" applyAlignment="1" pivotButton="0" quotePrefix="0" xfId="0">
      <alignment horizontal="center" vertical="center"/>
    </xf>
    <xf numFmtId="9" fontId="6" fillId="7" borderId="1" applyAlignment="1" pivotButton="0" quotePrefix="0" xfId="0">
      <alignment horizontal="center" vertical="center"/>
    </xf>
    <xf numFmtId="9" fontId="9" fillId="7" borderId="1" applyAlignment="1" pivotButton="0" quotePrefix="0" xfId="0">
      <alignment horizontal="center" vertical="center"/>
    </xf>
    <xf numFmtId="0" fontId="6" fillId="7" borderId="1" applyAlignment="1" pivotButton="0" quotePrefix="0" xfId="0">
      <alignment horizontal="center" vertical="center"/>
    </xf>
    <xf numFmtId="0" fontId="0" fillId="6" borderId="1" applyAlignment="1" pivotButton="0" quotePrefix="0" xfId="0">
      <alignment horizontal="center" vertical="center"/>
    </xf>
    <xf numFmtId="0" fontId="6" fillId="8" borderId="1" applyAlignment="1" pivotButton="0" quotePrefix="0" xfId="0">
      <alignment horizontal="left" vertical="center"/>
    </xf>
    <xf numFmtId="0" fontId="7" fillId="8" borderId="1" applyAlignment="1" pivotButton="0" quotePrefix="0" xfId="0">
      <alignment horizontal="center" vertical="center"/>
    </xf>
    <xf numFmtId="0" fontId="8" fillId="8" borderId="1" applyAlignment="1" pivotButton="0" quotePrefix="0" xfId="0">
      <alignment horizontal="center" vertical="center"/>
    </xf>
    <xf numFmtId="0" fontId="6" fillId="8" borderId="1" applyAlignment="1" pivotButton="0" quotePrefix="0" xfId="0">
      <alignment horizontal="center" vertical="center"/>
    </xf>
    <xf numFmtId="0" fontId="0" fillId="8" borderId="1" applyAlignment="1" pivotButton="0" quotePrefix="0" xfId="0">
      <alignment horizontal="center" vertical="center"/>
    </xf>
    <xf numFmtId="0" fontId="3" fillId="9" borderId="0" applyAlignment="1" pivotButton="0" quotePrefix="0" xfId="0">
      <alignment horizontal="center" vertical="center" wrapText="1"/>
    </xf>
    <xf numFmtId="0" fontId="5" fillId="9" borderId="1" applyAlignment="1" pivotButton="0" quotePrefix="0" xfId="0">
      <alignment horizontal="center" vertical="center" wrapText="1"/>
    </xf>
    <xf numFmtId="164" fontId="0" fillId="7" borderId="1" applyAlignment="1" pivotButton="0" quotePrefix="0" xfId="0">
      <alignment horizontal="center" vertical="center"/>
    </xf>
    <xf numFmtId="0" fontId="10" fillId="6" borderId="1" applyAlignment="1" pivotButton="0" quotePrefix="0" xfId="0">
      <alignment horizontal="center" vertical="center"/>
    </xf>
    <xf numFmtId="0" fontId="9" fillId="6" borderId="1" applyAlignment="1" pivotButton="0" quotePrefix="0" xfId="0">
      <alignment horizontal="center" vertical="center"/>
    </xf>
    <xf numFmtId="0" fontId="11" fillId="4" borderId="1" applyAlignment="1" pivotButton="0" quotePrefix="0" xfId="0">
      <alignment horizontal="center" vertical="center"/>
    </xf>
    <xf numFmtId="0" fontId="6" fillId="10" borderId="1" applyAlignment="1" pivotButton="0" quotePrefix="0" xfId="0">
      <alignment horizontal="center" vertical="center"/>
    </xf>
    <xf numFmtId="0" fontId="10" fillId="10"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center" vertical="center"/>
    </xf>
    <xf numFmtId="0" fontId="3" fillId="2" borderId="1" applyAlignment="1" pivotButton="0" quotePrefix="0" xfId="0">
      <alignment horizontal="center" vertical="center"/>
    </xf>
    <xf numFmtId="0" fontId="0" fillId="2" borderId="1" pivotButton="0" quotePrefix="0" xfId="0"/>
    <xf numFmtId="0" fontId="12" fillId="5" borderId="1" applyAlignment="1" pivotButton="0" quotePrefix="0" xfId="0">
      <alignment horizontal="center" vertical="center"/>
    </xf>
    <xf numFmtId="0" fontId="13" fillId="3" borderId="1" applyAlignment="1" pivotButton="0" quotePrefix="0" xfId="0">
      <alignment horizontal="center" vertical="center"/>
    </xf>
    <xf numFmtId="0" fontId="3" fillId="11" borderId="0" applyAlignment="1" pivotButton="0" quotePrefix="0" xfId="0">
      <alignment horizontal="center" vertical="center" wrapText="1"/>
    </xf>
    <xf numFmtId="0" fontId="5" fillId="11" borderId="1" applyAlignment="1" pivotButton="0" quotePrefix="0" xfId="0">
      <alignment horizontal="center" vertical="center" wrapText="1"/>
    </xf>
    <xf numFmtId="0" fontId="6" fillId="12" borderId="1" applyAlignment="1" pivotButton="0" quotePrefix="0" xfId="0">
      <alignment horizontal="left" vertical="center"/>
    </xf>
    <xf numFmtId="0" fontId="0" fillId="4" borderId="1" applyAlignment="1" pivotButton="0" quotePrefix="0" xfId="0">
      <alignment horizontal="center" vertical="center"/>
    </xf>
    <xf numFmtId="0" fontId="0" fillId="12" borderId="1" applyAlignment="1" pivotButton="0" quotePrefix="0" xfId="0">
      <alignment horizontal="left" vertical="center" wrapText="1"/>
    </xf>
    <xf numFmtId="0" fontId="0" fillId="12" borderId="1" applyAlignment="1" pivotButton="0" quotePrefix="0" xfId="0">
      <alignment horizontal="center" vertical="center"/>
    </xf>
    <xf numFmtId="0" fontId="6" fillId="10" borderId="1" applyAlignment="1" pivotButton="0" quotePrefix="0" xfId="0">
      <alignment horizontal="left" vertical="center"/>
    </xf>
    <xf numFmtId="0" fontId="0" fillId="10" borderId="1" applyAlignment="1" pivotButton="0" quotePrefix="0" xfId="0">
      <alignment horizontal="left" vertical="center" wrapText="1"/>
    </xf>
    <xf numFmtId="0" fontId="0" fillId="10" borderId="1" applyAlignment="1" pivotButton="0" quotePrefix="0" xfId="0">
      <alignment horizontal="center" vertical="center"/>
    </xf>
    <xf numFmtId="0" fontId="3" fillId="2" borderId="1" applyAlignment="1" pivotButton="0" quotePrefix="0" xfId="0">
      <alignment horizontal="left" vertical="center"/>
    </xf>
    <xf numFmtId="165" fontId="7" fillId="4" borderId="1" applyAlignment="1" pivotButton="0" quotePrefix="0" xfId="0">
      <alignment horizontal="center" vertical="center"/>
    </xf>
    <xf numFmtId="0" fontId="14" fillId="4" borderId="1" applyAlignment="1" pivotButton="0" quotePrefix="0" xfId="0">
      <alignment horizontal="left" vertical="center"/>
    </xf>
    <xf numFmtId="0" fontId="15" fillId="2" borderId="0" applyAlignment="1" pivotButton="0" quotePrefix="0" xfId="0">
      <alignment horizontal="center" vertical="center" wrapText="1"/>
    </xf>
    <xf numFmtId="0" fontId="16" fillId="13" borderId="1" applyAlignment="1" pivotButton="0" quotePrefix="0" xfId="0">
      <alignment horizontal="center" vertical="center" wrapText="1"/>
    </xf>
    <xf numFmtId="0" fontId="16" fillId="13" borderId="1" applyAlignment="1" pivotButton="0" quotePrefix="0" xfId="0">
      <alignment horizontal="left" vertical="center" wrapText="1"/>
    </xf>
    <xf numFmtId="0" fontId="16" fillId="12" borderId="1" applyAlignment="1" pivotButton="0" quotePrefix="0" xfId="0">
      <alignment horizontal="center" vertical="center" wrapText="1"/>
    </xf>
    <xf numFmtId="0" fontId="16" fillId="10" borderId="1" applyAlignment="1" pivotButton="0" quotePrefix="0" xfId="0">
      <alignment horizontal="center" vertical="center" wrapText="1"/>
    </xf>
    <xf numFmtId="0" fontId="16" fillId="10" borderId="1" applyAlignment="1" pivotButton="0" quotePrefix="0" xfId="0">
      <alignment horizontal="left" vertical="center" wrapText="1"/>
    </xf>
    <xf numFmtId="0" fontId="16" fillId="13" borderId="1" applyAlignment="1" pivotButton="0" quotePrefix="0" xfId="0">
      <alignment horizontal="right" vertical="center" wrapText="1"/>
    </xf>
    <xf numFmtId="0" fontId="17" fillId="7" borderId="1" applyAlignment="1" pivotButton="0" quotePrefix="0" xfId="0">
      <alignment horizontal="center" vertical="center"/>
    </xf>
    <xf numFmtId="0" fontId="16" fillId="10" borderId="1" applyAlignment="1" pivotButton="0" quotePrefix="0" xfId="0">
      <alignment horizontal="right" vertical="center" wrapText="1"/>
    </xf>
    <xf numFmtId="0" fontId="5" fillId="14" borderId="1" applyAlignment="1" pivotButton="0" quotePrefix="0" xfId="0">
      <alignment horizontal="center" vertical="center" wrapText="1"/>
    </xf>
    <xf numFmtId="0" fontId="18" fillId="15" borderId="1" applyAlignment="1" pivotButton="0" quotePrefix="0" xfId="0">
      <alignment horizontal="center" vertical="center"/>
    </xf>
    <xf numFmtId="0" fontId="16" fillId="15" borderId="1" applyAlignment="1" pivotButton="0" quotePrefix="0" xfId="0">
      <alignment horizontal="center" vertical="center" wrapText="1"/>
    </xf>
    <xf numFmtId="0" fontId="16" fillId="15" borderId="1" applyAlignment="1" pivotButton="0" quotePrefix="0" xfId="0">
      <alignment horizontal="left" vertical="center" wrapText="1"/>
    </xf>
    <xf numFmtId="0" fontId="16" fillId="15" borderId="1" applyAlignment="1" pivotButton="0" quotePrefix="0" xfId="0">
      <alignment horizontal="right" vertical="center" wrapText="1"/>
    </xf>
    <xf numFmtId="9" fontId="19" fillId="7" borderId="1" applyAlignment="1" pivotButton="0" quotePrefix="0" xfId="0">
      <alignment horizontal="center" vertical="center"/>
    </xf>
    <xf numFmtId="3" fontId="9" fillId="6" borderId="1" applyAlignment="1" pivotButton="0" quotePrefix="0" xfId="0">
      <alignment horizontal="right" vertical="center"/>
    </xf>
    <xf numFmtId="0" fontId="18" fillId="10" borderId="1" applyAlignment="1" pivotButton="0" quotePrefix="0" xfId="0">
      <alignment horizontal="center" vertical="center"/>
    </xf>
    <xf numFmtId="0" fontId="5" fillId="16" borderId="1" applyAlignment="1" pivotButton="0" quotePrefix="0" xfId="0">
      <alignment horizontal="center" vertical="center" wrapText="1"/>
    </xf>
    <xf numFmtId="0" fontId="6" fillId="6" borderId="1" applyAlignment="1" pivotButton="0" quotePrefix="0" xfId="0">
      <alignment horizontal="right" vertical="center"/>
    </xf>
    <xf numFmtId="0" fontId="20" fillId="6" borderId="1" applyAlignment="1" pivotButton="0" quotePrefix="0" xfId="0">
      <alignment horizontal="center" vertical="center"/>
    </xf>
    <xf numFmtId="9" fontId="20" fillId="6" borderId="1" applyAlignment="1" pivotButton="0" quotePrefix="0" xfId="0">
      <alignment horizontal="center" vertical="center"/>
    </xf>
    <xf numFmtId="0" fontId="6" fillId="8" borderId="1" applyAlignment="1" pivotButton="0" quotePrefix="0" xfId="0">
      <alignment horizontal="right" vertical="center"/>
    </xf>
    <xf numFmtId="3" fontId="21" fillId="8" borderId="1" applyAlignment="1" pivotButton="0" quotePrefix="0" xfId="0">
      <alignment horizontal="center" vertical="center"/>
    </xf>
    <xf numFmtId="0" fontId="21" fillId="8" borderId="1" applyAlignment="1" pivotButton="0" quotePrefix="0" xfId="0">
      <alignment horizontal="center" vertical="center"/>
    </xf>
    <xf numFmtId="0" fontId="22" fillId="8" borderId="1" applyAlignment="1" pivotButton="0" quotePrefix="0" xfId="0">
      <alignment horizontal="center" vertical="center"/>
    </xf>
    <xf numFmtId="0" fontId="2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Weekly Activity → Inquiry → Proposal → Win</a:t>
            </a:r>
          </a:p>
        </rich>
      </tx>
    </title>
    <plotArea>
      <barChart>
        <barDir val="col"/>
        <grouping val="clustered"/>
        <ser>
          <idx val="0"/>
          <order val="0"/>
          <tx>
            <strRef>
              <f>'Dashboard'!D15</f>
            </strRef>
          </tx>
          <spPr>
            <a:ln xmlns:a="http://schemas.openxmlformats.org/drawingml/2006/main">
              <a:prstDash val="solid"/>
            </a:ln>
          </spPr>
          <cat>
            <numRef>
              <f>'Dashboard'!$A$16:$A$27</f>
            </numRef>
          </cat>
          <val>
            <numRef>
              <f>'Dashboard'!$D$16:$D$27</f>
            </numRef>
          </val>
        </ser>
        <ser>
          <idx val="1"/>
          <order val="1"/>
          <tx>
            <strRef>
              <f>'Dashboard'!E15</f>
            </strRef>
          </tx>
          <spPr>
            <a:ln xmlns:a="http://schemas.openxmlformats.org/drawingml/2006/main">
              <a:prstDash val="solid"/>
            </a:ln>
          </spPr>
          <cat>
            <numRef>
              <f>'Dashboard'!$A$16:$A$27</f>
            </numRef>
          </cat>
          <val>
            <numRef>
              <f>'Dashboard'!$E$16:$E$27</f>
            </numRef>
          </val>
        </ser>
        <ser>
          <idx val="2"/>
          <order val="2"/>
          <tx>
            <strRef>
              <f>'Dashboard'!F15</f>
            </strRef>
          </tx>
          <spPr>
            <a:ln xmlns:a="http://schemas.openxmlformats.org/drawingml/2006/main">
              <a:prstDash val="solid"/>
            </a:ln>
          </spPr>
          <cat>
            <numRef>
              <f>'Dashboard'!$A$16:$A$27</f>
            </numRef>
          </cat>
          <val>
            <numRef>
              <f>'Dashboard'!$F$16:$F$27</f>
            </numRef>
          </val>
        </ser>
        <ser>
          <idx val="3"/>
          <order val="3"/>
          <tx>
            <strRef>
              <f>'Dashboard'!G15</f>
            </strRef>
          </tx>
          <spPr>
            <a:ln xmlns:a="http://schemas.openxmlformats.org/drawingml/2006/main">
              <a:prstDash val="solid"/>
            </a:ln>
          </spPr>
          <cat>
            <numRef>
              <f>'Dashboard'!$A$16:$A$27</f>
            </numRef>
          </cat>
          <val>
            <numRef>
              <f>'Dashboard'!$G$16:$G$27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Cumulative Progress — Engagements to Wins</a:t>
            </a:r>
          </a:p>
        </rich>
      </tx>
    </title>
    <plotArea>
      <lineChart>
        <grouping val="standard"/>
        <ser>
          <idx val="0"/>
          <order val="0"/>
          <tx>
            <strRef>
              <f>'Dashboard'!H15</f>
            </strRef>
          </tx>
          <spPr>
            <a:ln xmlns:a="http://schemas.openxmlformats.org/drawingml/2006/main">
              <a:prstDash val="solid"/>
            </a:ln>
          </spPr>
          <marker>
            <symbol val="none"/>
            <spPr>
              <a:ln xmlns:a="http://schemas.openxmlformats.org/drawingml/2006/main">
                <a:prstDash val="solid"/>
              </a:ln>
            </spPr>
          </marker>
          <cat>
            <numRef>
              <f>'Dashboard'!$A$16:$A$27</f>
            </numRef>
          </cat>
          <val>
            <numRef>
              <f>'Dashboard'!$H$16:$H$27</f>
            </numRef>
          </val>
        </ser>
        <ser>
          <idx val="1"/>
          <order val="1"/>
          <tx>
            <strRef>
              <f>'Dashboard'!I15</f>
            </strRef>
          </tx>
          <spPr>
            <a:ln xmlns:a="http://schemas.openxmlformats.org/drawingml/2006/main">
              <a:prstDash val="solid"/>
            </a:ln>
          </spPr>
          <marker>
            <symbol val="none"/>
            <spPr>
              <a:ln xmlns:a="http://schemas.openxmlformats.org/drawingml/2006/main">
                <a:prstDash val="solid"/>
              </a:ln>
            </spPr>
          </marker>
          <cat>
            <numRef>
              <f>'Dashboard'!$A$16:$A$27</f>
            </numRef>
          </cat>
          <val>
            <numRef>
              <f>'Dashboard'!$I$16:$I$27</f>
            </numRef>
          </val>
        </ser>
        <ser>
          <idx val="2"/>
          <order val="2"/>
          <tx>
            <strRef>
              <f>'Dashboard'!J15</f>
            </strRef>
          </tx>
          <spPr>
            <a:ln xmlns:a="http://schemas.openxmlformats.org/drawingml/2006/main">
              <a:prstDash val="solid"/>
            </a:ln>
          </spPr>
          <marker>
            <symbol val="none"/>
            <spPr>
              <a:ln xmlns:a="http://schemas.openxmlformats.org/drawingml/2006/main">
                <a:prstDash val="solid"/>
              </a:ln>
            </spPr>
          </marker>
          <cat>
            <numRef>
              <f>'Dashboard'!$A$16:$A$27</f>
            </numRef>
          </cat>
          <val>
            <numRef>
              <f>'Dashboard'!$J$16:$J$27</f>
            </numRef>
          </val>
        </ser>
        <ser>
          <idx val="3"/>
          <order val="3"/>
          <tx>
            <strRef>
              <f>'Dashboard'!K15</f>
            </strRef>
          </tx>
          <spPr>
            <a:ln xmlns:a="http://schemas.openxmlformats.org/drawingml/2006/main">
              <a:prstDash val="solid"/>
            </a:ln>
          </spPr>
          <marker>
            <symbol val="none"/>
            <spPr>
              <a:ln xmlns:a="http://schemas.openxmlformats.org/drawingml/2006/main">
                <a:prstDash val="solid"/>
              </a:ln>
            </spPr>
          </marker>
          <cat>
            <numRef>
              <f>'Dashboard'!$A$16:$A$27</f>
            </numRef>
          </cat>
          <val>
            <numRef>
              <f>'Dashboard'!$K$16:$K$27</f>
            </numRef>
          </val>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29</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59"/>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40" customWidth="1" min="3" max="3"/>
    <col width="28" customWidth="1" min="4" max="4"/>
    <col width="16" customWidth="1" min="5" max="5"/>
    <col width="12" customWidth="1" min="6" max="6"/>
    <col width="10" customWidth="1" min="7" max="7"/>
    <col width="18" customWidth="1" min="8" max="8"/>
    <col width="16" customWidth="1" min="9" max="9"/>
    <col width="16" customWidth="1" min="10" max="10"/>
    <col width="12" customWidth="1" min="11" max="11"/>
    <col width="14" customWidth="1" min="12" max="12"/>
    <col width="14" customWidth="1" min="13" max="13"/>
    <col width="14" customWidth="1" min="14" max="14"/>
  </cols>
  <sheetData>
    <row r="1" ht="34" customHeight="1">
      <c r="A1" s="1" t="inlineStr">
        <is>
          <t>ELV SALES PERFORMANCE DASHBOARD — [Salesperson Name]</t>
        </is>
      </c>
    </row>
    <row r="2" ht="16" customHeight="1">
      <c r="A2" s="2" t="inlineStr">
        <is>
          <t>Auto-calculated from Daily Log · Inquiry &amp; Proposal Tracker · Win/Loss Register  |  Reporting Month: [Month Year]</t>
        </is>
      </c>
    </row>
    <row r="3" ht="8" customHeight="1"/>
    <row r="4" ht="28" customHeight="1">
      <c r="A4" s="3" t="inlineStr">
        <is>
          <t>Salesperson:</t>
        </is>
      </c>
      <c r="B4" s="4" t="n"/>
      <c r="C4" s="4" t="n"/>
      <c r="D4" s="5" t="inlineStr">
        <is>
          <t>[Enter Name]</t>
        </is>
      </c>
      <c r="E4" s="4" t="n"/>
      <c r="F4" s="4" t="n"/>
      <c r="G4" s="3" t="inlineStr">
        <is>
          <t>Month:</t>
        </is>
      </c>
      <c r="H4" s="4" t="n"/>
      <c r="I4" s="4" t="n"/>
      <c r="J4" s="5" t="inlineStr">
        <is>
          <t>[Month / Year]</t>
        </is>
      </c>
      <c r="K4" s="4" t="n"/>
      <c r="L4" s="4" t="n"/>
    </row>
    <row r="5" ht="8" customHeight="1"/>
    <row r="6" ht="24" customHeight="1">
      <c r="A6" s="6" t="inlineStr">
        <is>
          <t>▶  ACTIVITY → INQUIRY → PROPOSAL → WIN FUNNEL  (This Month, Cumulative)</t>
        </is>
      </c>
    </row>
    <row r="7" ht="26" customHeight="1">
      <c r="A7" s="7" t="inlineStr">
        <is>
          <t>Stage</t>
        </is>
      </c>
      <c r="B7" s="7" t="inlineStr">
        <is>
          <t>Count</t>
        </is>
      </c>
      <c r="C7" s="7" t="inlineStr">
        <is>
          <t>Target</t>
        </is>
      </c>
      <c r="D7" s="7" t="inlineStr">
        <is>
          <t>% of Target</t>
        </is>
      </c>
      <c r="E7" s="7" t="inlineStr">
        <is>
          <t>Conversion to Next</t>
        </is>
      </c>
      <c r="F7" s="7" t="inlineStr">
        <is>
          <t>Status</t>
        </is>
      </c>
    </row>
    <row r="8" ht="24" customHeight="1">
      <c r="A8" s="8" t="inlineStr">
        <is>
          <t>Total Engagements (meetings + visits)</t>
        </is>
      </c>
      <c r="B8" s="9">
        <f>COUNTA('Daily Log'!A5:A500)-COUNTBLANK('Daily Log'!A5:A500)</f>
        <v/>
      </c>
      <c r="C8" s="10" t="n">
        <v>20</v>
      </c>
      <c r="D8" s="11">
        <f>IFERROR(B8/C8,"—")</f>
        <v/>
      </c>
      <c r="E8" s="12">
        <f>IFERROR(B9/B8,"—")</f>
        <v/>
      </c>
      <c r="F8" s="13">
        <f>IF(ISNUMBER(B8),IF(B8&gt;=C8,"✔ On Track","⚠ Below"),"—")</f>
        <v/>
      </c>
    </row>
    <row r="9" ht="24" customHeight="1">
      <c r="A9" s="14" t="inlineStr">
        <is>
          <t>Inquiries Generated</t>
        </is>
      </c>
      <c r="B9" s="15">
        <f>COUNTA('Inquiry &amp; Proposals'!A5:A200)-COUNTBLANK('Inquiry &amp; Proposals'!A5:A200)</f>
        <v/>
      </c>
      <c r="C9" s="16" t="n">
        <v>5</v>
      </c>
      <c r="D9" s="17">
        <f>IFERROR(B9/C9,"—")</f>
        <v/>
      </c>
      <c r="E9" s="18">
        <f>IFERROR(B10/B9,"—")</f>
        <v/>
      </c>
      <c r="F9" s="19">
        <f>IF(ISNUMBER(B9),IF(B9&gt;=C9,"✔ On Track","⚠ Below"),"—")</f>
        <v/>
      </c>
    </row>
    <row r="10" ht="24" customHeight="1">
      <c r="A10" s="20" t="inlineStr">
        <is>
          <t>Proposals Submitted</t>
        </is>
      </c>
      <c r="B10" s="21">
        <f>COUNTIF('Inquiry &amp; Proposals'!K5:K200,"Proposal Submitted")</f>
        <v/>
      </c>
      <c r="C10" s="22" t="n">
        <v>4</v>
      </c>
      <c r="D10" s="23">
        <f>IFERROR(B10/C10,"—")</f>
        <v/>
      </c>
      <c r="E10" s="24">
        <f>IFERROR(B11/B10,"—")</f>
        <v/>
      </c>
      <c r="F10" s="25">
        <f>IF(ISNUMBER(B10),IF(B10&gt;=C10,"✔ On Track","⚠ Below"),"—")</f>
        <v/>
      </c>
    </row>
    <row r="11" ht="24" customHeight="1">
      <c r="A11" s="14" t="inlineStr">
        <is>
          <t>Projects Won</t>
        </is>
      </c>
      <c r="B11" s="15">
        <f>COUNTIF('Win-Loss Register'!E5:E200,"Won")</f>
        <v/>
      </c>
      <c r="C11" s="16" t="n">
        <v>2</v>
      </c>
      <c r="D11" s="17">
        <f>IFERROR(B11/C11,"—")</f>
        <v/>
      </c>
      <c r="E11" s="26" t="inlineStr">
        <is>
          <t>—</t>
        </is>
      </c>
      <c r="F11" s="19">
        <f>IF(ISNUMBER(B11),IF(B11&gt;=C11,"✔ On Track","⚠ Below"),"—")</f>
        <v/>
      </c>
    </row>
    <row r="12" ht="24" customHeight="1">
      <c r="A12" s="27" t="inlineStr">
        <is>
          <t>Projects Lost</t>
        </is>
      </c>
      <c r="B12" s="28">
        <f>COUNTIF('Win-Loss Register'!E5:E200,"Lost")</f>
        <v/>
      </c>
      <c r="C12" s="29" t="inlineStr">
        <is>
          <t>—</t>
        </is>
      </c>
      <c r="D12" s="30" t="inlineStr">
        <is>
          <t>—</t>
        </is>
      </c>
      <c r="E12" s="31" t="inlineStr">
        <is>
          <t>—</t>
        </is>
      </c>
      <c r="F12" s="30" t="inlineStr">
        <is>
          <t>—</t>
        </is>
      </c>
    </row>
    <row r="13" ht="8" customHeight="1"/>
    <row r="14" ht="24" customHeight="1">
      <c r="A14" s="32" t="inlineStr">
        <is>
          <t>▶  WEEKLY ENGAGEMENT TRACKER  (Cumulative — auto-builds as Daily Log is filled)</t>
        </is>
      </c>
    </row>
    <row r="15" ht="28" customHeight="1">
      <c r="A15" s="33" t="inlineStr">
        <is>
          <t>Week</t>
        </is>
      </c>
      <c r="B15" s="33" t="inlineStr">
        <is>
          <t>Week Start</t>
        </is>
      </c>
      <c r="C15" s="33" t="inlineStr">
        <is>
          <t>Week End</t>
        </is>
      </c>
      <c r="D15" s="33" t="inlineStr">
        <is>
          <t>Engagements</t>
        </is>
      </c>
      <c r="E15" s="33" t="inlineStr">
        <is>
          <t>Inquiries</t>
        </is>
      </c>
      <c r="F15" s="33" t="inlineStr">
        <is>
          <t>Proposals</t>
        </is>
      </c>
      <c r="G15" s="33" t="inlineStr">
        <is>
          <t>Wins</t>
        </is>
      </c>
      <c r="H15" s="33" t="inlineStr">
        <is>
          <t>Cumul. Engagements</t>
        </is>
      </c>
      <c r="I15" s="33" t="inlineStr">
        <is>
          <t>Cumul. Inquiries</t>
        </is>
      </c>
      <c r="J15" s="33" t="inlineStr">
        <is>
          <t>Cumul. Proposals</t>
        </is>
      </c>
      <c r="K15" s="33" t="inlineStr">
        <is>
          <t>Cumul. Wins</t>
        </is>
      </c>
    </row>
    <row r="16" ht="22" customHeight="1">
      <c r="A16" s="19" t="inlineStr">
        <is>
          <t>Week 1</t>
        </is>
      </c>
      <c r="B16" s="34" t="inlineStr"/>
      <c r="C16" s="34">
        <f>IFERROR(B16+6,"")</f>
        <v/>
      </c>
      <c r="D16" s="35">
        <f>IFERROR(COUNTIFS('Daily Log'!A:A,"&gt;="&amp;B16,'Daily Log'!A:A,"&lt;="&amp;C16),0)</f>
        <v/>
      </c>
      <c r="E16" s="16">
        <f>IFERROR(COUNTIFS('Inquiry &amp; Proposals'!B:B,"&gt;="&amp;B16,'Inquiry &amp; Proposals'!B:B,"&lt;="&amp;C16),0)</f>
        <v/>
      </c>
      <c r="F16" s="16">
        <f>IFERROR(COUNTIFS('Inquiry &amp; Proposals'!B:B,"&gt;="&amp;B16,'Inquiry &amp; Proposals'!B:B,"&lt;="&amp;C16,'Inquiry &amp; Proposals'!K:K,"Proposal Submitted"),0)</f>
        <v/>
      </c>
      <c r="G16" s="36">
        <f>IFERROR(COUNTIFS('Win-Loss Register'!B:B,"&gt;="&amp;B16,'Win-Loss Register'!B:B,"&lt;="&amp;C16,'Win-Loss Register'!E:E,"Won"),0)</f>
        <v/>
      </c>
      <c r="H16" s="37">
        <f>D16</f>
        <v/>
      </c>
      <c r="I16" s="37">
        <f>E16</f>
        <v/>
      </c>
      <c r="J16" s="37">
        <f>F16</f>
        <v/>
      </c>
      <c r="K16" s="37">
        <f>G16</f>
        <v/>
      </c>
    </row>
    <row r="17" ht="22" customHeight="1">
      <c r="A17" s="38" t="inlineStr">
        <is>
          <t>Week 2</t>
        </is>
      </c>
      <c r="B17" s="34" t="inlineStr"/>
      <c r="C17" s="34">
        <f>IFERROR(B17+6,"")</f>
        <v/>
      </c>
      <c r="D17" s="39">
        <f>IFERROR(COUNTIFS('Daily Log'!A:A,"&gt;="&amp;B17,'Daily Log'!A:A,"&lt;="&amp;C17),0)</f>
        <v/>
      </c>
      <c r="E17" s="40">
        <f>IFERROR(COUNTIFS('Inquiry &amp; Proposals'!B:B,"&gt;="&amp;B17,'Inquiry &amp; Proposals'!B:B,"&lt;="&amp;C17),0)</f>
        <v/>
      </c>
      <c r="F17" s="40">
        <f>IFERROR(COUNTIFS('Inquiry &amp; Proposals'!B:B,"&gt;="&amp;B17,'Inquiry &amp; Proposals'!B:B,"&lt;="&amp;C17,'Inquiry &amp; Proposals'!K:K,"Proposal Submitted"),0)</f>
        <v/>
      </c>
      <c r="G17" s="41">
        <f>IFERROR(COUNTIFS('Win-Loss Register'!B:B,"&gt;="&amp;B17,'Win-Loss Register'!B:B,"&lt;="&amp;C17,'Win-Loss Register'!E:E,"Won"),0)</f>
        <v/>
      </c>
      <c r="H17" s="37">
        <f>H16+D17</f>
        <v/>
      </c>
      <c r="I17" s="37">
        <f>I16+E17</f>
        <v/>
      </c>
      <c r="J17" s="37">
        <f>J16+F17</f>
        <v/>
      </c>
      <c r="K17" s="37">
        <f>K16+G17</f>
        <v/>
      </c>
    </row>
    <row r="18" ht="22" customHeight="1">
      <c r="A18" s="19" t="inlineStr">
        <is>
          <t>Week 3</t>
        </is>
      </c>
      <c r="B18" s="34" t="inlineStr"/>
      <c r="C18" s="34">
        <f>IFERROR(B18+6,"")</f>
        <v/>
      </c>
      <c r="D18" s="35">
        <f>IFERROR(COUNTIFS('Daily Log'!A:A,"&gt;="&amp;B18,'Daily Log'!A:A,"&lt;="&amp;C18),0)</f>
        <v/>
      </c>
      <c r="E18" s="16">
        <f>IFERROR(COUNTIFS('Inquiry &amp; Proposals'!B:B,"&gt;="&amp;B18,'Inquiry &amp; Proposals'!B:B,"&lt;="&amp;C18),0)</f>
        <v/>
      </c>
      <c r="F18" s="16">
        <f>IFERROR(COUNTIFS('Inquiry &amp; Proposals'!B:B,"&gt;="&amp;B18,'Inquiry &amp; Proposals'!B:B,"&lt;="&amp;C18,'Inquiry &amp; Proposals'!K:K,"Proposal Submitted"),0)</f>
        <v/>
      </c>
      <c r="G18" s="36">
        <f>IFERROR(COUNTIFS('Win-Loss Register'!B:B,"&gt;="&amp;B18,'Win-Loss Register'!B:B,"&lt;="&amp;C18,'Win-Loss Register'!E:E,"Won"),0)</f>
        <v/>
      </c>
      <c r="H18" s="37">
        <f>H17+D18</f>
        <v/>
      </c>
      <c r="I18" s="37">
        <f>I17+E18</f>
        <v/>
      </c>
      <c r="J18" s="37">
        <f>J17+F18</f>
        <v/>
      </c>
      <c r="K18" s="37">
        <f>K17+G18</f>
        <v/>
      </c>
    </row>
    <row r="19" ht="22" customHeight="1">
      <c r="A19" s="38" t="inlineStr">
        <is>
          <t>Week 4</t>
        </is>
      </c>
      <c r="B19" s="34" t="inlineStr"/>
      <c r="C19" s="34">
        <f>IFERROR(B19+6,"")</f>
        <v/>
      </c>
      <c r="D19" s="39">
        <f>IFERROR(COUNTIFS('Daily Log'!A:A,"&gt;="&amp;B19,'Daily Log'!A:A,"&lt;="&amp;C19),0)</f>
        <v/>
      </c>
      <c r="E19" s="40">
        <f>IFERROR(COUNTIFS('Inquiry &amp; Proposals'!B:B,"&gt;="&amp;B19,'Inquiry &amp; Proposals'!B:B,"&lt;="&amp;C19),0)</f>
        <v/>
      </c>
      <c r="F19" s="40">
        <f>IFERROR(COUNTIFS('Inquiry &amp; Proposals'!B:B,"&gt;="&amp;B19,'Inquiry &amp; Proposals'!B:B,"&lt;="&amp;C19,'Inquiry &amp; Proposals'!K:K,"Proposal Submitted"),0)</f>
        <v/>
      </c>
      <c r="G19" s="41">
        <f>IFERROR(COUNTIFS('Win-Loss Register'!B:B,"&gt;="&amp;B19,'Win-Loss Register'!B:B,"&lt;="&amp;C19,'Win-Loss Register'!E:E,"Won"),0)</f>
        <v/>
      </c>
      <c r="H19" s="37">
        <f>H18+D19</f>
        <v/>
      </c>
      <c r="I19" s="37">
        <f>I18+E19</f>
        <v/>
      </c>
      <c r="J19" s="37">
        <f>J18+F19</f>
        <v/>
      </c>
      <c r="K19" s="37">
        <f>K18+G19</f>
        <v/>
      </c>
    </row>
    <row r="20" ht="22" customHeight="1">
      <c r="A20" s="19" t="inlineStr">
        <is>
          <t>Week 5</t>
        </is>
      </c>
      <c r="B20" s="34" t="inlineStr"/>
      <c r="C20" s="34">
        <f>IFERROR(B20+6,"")</f>
        <v/>
      </c>
      <c r="D20" s="35">
        <f>IFERROR(COUNTIFS('Daily Log'!A:A,"&gt;="&amp;B20,'Daily Log'!A:A,"&lt;="&amp;C20),0)</f>
        <v/>
      </c>
      <c r="E20" s="16">
        <f>IFERROR(COUNTIFS('Inquiry &amp; Proposals'!B:B,"&gt;="&amp;B20,'Inquiry &amp; Proposals'!B:B,"&lt;="&amp;C20),0)</f>
        <v/>
      </c>
      <c r="F20" s="16">
        <f>IFERROR(COUNTIFS('Inquiry &amp; Proposals'!B:B,"&gt;="&amp;B20,'Inquiry &amp; Proposals'!B:B,"&lt;="&amp;C20,'Inquiry &amp; Proposals'!K:K,"Proposal Submitted"),0)</f>
        <v/>
      </c>
      <c r="G20" s="36">
        <f>IFERROR(COUNTIFS('Win-Loss Register'!B:B,"&gt;="&amp;B20,'Win-Loss Register'!B:B,"&lt;="&amp;C20,'Win-Loss Register'!E:E,"Won"),0)</f>
        <v/>
      </c>
      <c r="H20" s="37">
        <f>H19+D20</f>
        <v/>
      </c>
      <c r="I20" s="37">
        <f>I19+E20</f>
        <v/>
      </c>
      <c r="J20" s="37">
        <f>J19+F20</f>
        <v/>
      </c>
      <c r="K20" s="37">
        <f>K19+G20</f>
        <v/>
      </c>
    </row>
    <row r="21" ht="22" customHeight="1">
      <c r="A21" s="38" t="inlineStr">
        <is>
          <t>Week 6</t>
        </is>
      </c>
      <c r="B21" s="34" t="inlineStr"/>
      <c r="C21" s="34">
        <f>IFERROR(B21+6,"")</f>
        <v/>
      </c>
      <c r="D21" s="39">
        <f>IFERROR(COUNTIFS('Daily Log'!A:A,"&gt;="&amp;B21,'Daily Log'!A:A,"&lt;="&amp;C21),0)</f>
        <v/>
      </c>
      <c r="E21" s="40">
        <f>IFERROR(COUNTIFS('Inquiry &amp; Proposals'!B:B,"&gt;="&amp;B21,'Inquiry &amp; Proposals'!B:B,"&lt;="&amp;C21),0)</f>
        <v/>
      </c>
      <c r="F21" s="40">
        <f>IFERROR(COUNTIFS('Inquiry &amp; Proposals'!B:B,"&gt;="&amp;B21,'Inquiry &amp; Proposals'!B:B,"&lt;="&amp;C21,'Inquiry &amp; Proposals'!K:K,"Proposal Submitted"),0)</f>
        <v/>
      </c>
      <c r="G21" s="41">
        <f>IFERROR(COUNTIFS('Win-Loss Register'!B:B,"&gt;="&amp;B21,'Win-Loss Register'!B:B,"&lt;="&amp;C21,'Win-Loss Register'!E:E,"Won"),0)</f>
        <v/>
      </c>
      <c r="H21" s="37">
        <f>H20+D21</f>
        <v/>
      </c>
      <c r="I21" s="37">
        <f>I20+E21</f>
        <v/>
      </c>
      <c r="J21" s="37">
        <f>J20+F21</f>
        <v/>
      </c>
      <c r="K21" s="37">
        <f>K20+G21</f>
        <v/>
      </c>
    </row>
    <row r="22" ht="22" customHeight="1">
      <c r="A22" s="19" t="inlineStr">
        <is>
          <t>Week 7</t>
        </is>
      </c>
      <c r="B22" s="34" t="inlineStr"/>
      <c r="C22" s="34">
        <f>IFERROR(B22+6,"")</f>
        <v/>
      </c>
      <c r="D22" s="35">
        <f>IFERROR(COUNTIFS('Daily Log'!A:A,"&gt;="&amp;B22,'Daily Log'!A:A,"&lt;="&amp;C22),0)</f>
        <v/>
      </c>
      <c r="E22" s="16">
        <f>IFERROR(COUNTIFS('Inquiry &amp; Proposals'!B:B,"&gt;="&amp;B22,'Inquiry &amp; Proposals'!B:B,"&lt;="&amp;C22),0)</f>
        <v/>
      </c>
      <c r="F22" s="16">
        <f>IFERROR(COUNTIFS('Inquiry &amp; Proposals'!B:B,"&gt;="&amp;B22,'Inquiry &amp; Proposals'!B:B,"&lt;="&amp;C22,'Inquiry &amp; Proposals'!K:K,"Proposal Submitted"),0)</f>
        <v/>
      </c>
      <c r="G22" s="36">
        <f>IFERROR(COUNTIFS('Win-Loss Register'!B:B,"&gt;="&amp;B22,'Win-Loss Register'!B:B,"&lt;="&amp;C22,'Win-Loss Register'!E:E,"Won"),0)</f>
        <v/>
      </c>
      <c r="H22" s="37">
        <f>H21+D22</f>
        <v/>
      </c>
      <c r="I22" s="37">
        <f>I21+E22</f>
        <v/>
      </c>
      <c r="J22" s="37">
        <f>J21+F22</f>
        <v/>
      </c>
      <c r="K22" s="37">
        <f>K21+G22</f>
        <v/>
      </c>
    </row>
    <row r="23" ht="22" customHeight="1">
      <c r="A23" s="38" t="inlineStr">
        <is>
          <t>Week 8</t>
        </is>
      </c>
      <c r="B23" s="34" t="inlineStr"/>
      <c r="C23" s="34">
        <f>IFERROR(B23+6,"")</f>
        <v/>
      </c>
      <c r="D23" s="39">
        <f>IFERROR(COUNTIFS('Daily Log'!A:A,"&gt;="&amp;B23,'Daily Log'!A:A,"&lt;="&amp;C23),0)</f>
        <v/>
      </c>
      <c r="E23" s="40">
        <f>IFERROR(COUNTIFS('Inquiry &amp; Proposals'!B:B,"&gt;="&amp;B23,'Inquiry &amp; Proposals'!B:B,"&lt;="&amp;C23),0)</f>
        <v/>
      </c>
      <c r="F23" s="40">
        <f>IFERROR(COUNTIFS('Inquiry &amp; Proposals'!B:B,"&gt;="&amp;B23,'Inquiry &amp; Proposals'!B:B,"&lt;="&amp;C23,'Inquiry &amp; Proposals'!K:K,"Proposal Submitted"),0)</f>
        <v/>
      </c>
      <c r="G23" s="41">
        <f>IFERROR(COUNTIFS('Win-Loss Register'!B:B,"&gt;="&amp;B23,'Win-Loss Register'!B:B,"&lt;="&amp;C23,'Win-Loss Register'!E:E,"Won"),0)</f>
        <v/>
      </c>
      <c r="H23" s="37">
        <f>H22+D23</f>
        <v/>
      </c>
      <c r="I23" s="37">
        <f>I22+E23</f>
        <v/>
      </c>
      <c r="J23" s="37">
        <f>J22+F23</f>
        <v/>
      </c>
      <c r="K23" s="37">
        <f>K22+G23</f>
        <v/>
      </c>
    </row>
    <row r="24" ht="22" customHeight="1">
      <c r="A24" s="19" t="inlineStr">
        <is>
          <t>Week 9</t>
        </is>
      </c>
      <c r="B24" s="34" t="inlineStr"/>
      <c r="C24" s="34">
        <f>IFERROR(B24+6,"")</f>
        <v/>
      </c>
      <c r="D24" s="35">
        <f>IFERROR(COUNTIFS('Daily Log'!A:A,"&gt;="&amp;B24,'Daily Log'!A:A,"&lt;="&amp;C24),0)</f>
        <v/>
      </c>
      <c r="E24" s="16">
        <f>IFERROR(COUNTIFS('Inquiry &amp; Proposals'!B:B,"&gt;="&amp;B24,'Inquiry &amp; Proposals'!B:B,"&lt;="&amp;C24),0)</f>
        <v/>
      </c>
      <c r="F24" s="16">
        <f>IFERROR(COUNTIFS('Inquiry &amp; Proposals'!B:B,"&gt;="&amp;B24,'Inquiry &amp; Proposals'!B:B,"&lt;="&amp;C24,'Inquiry &amp; Proposals'!K:K,"Proposal Submitted"),0)</f>
        <v/>
      </c>
      <c r="G24" s="36">
        <f>IFERROR(COUNTIFS('Win-Loss Register'!B:B,"&gt;="&amp;B24,'Win-Loss Register'!B:B,"&lt;="&amp;C24,'Win-Loss Register'!E:E,"Won"),0)</f>
        <v/>
      </c>
      <c r="H24" s="37">
        <f>H23+D24</f>
        <v/>
      </c>
      <c r="I24" s="37">
        <f>I23+E24</f>
        <v/>
      </c>
      <c r="J24" s="37">
        <f>J23+F24</f>
        <v/>
      </c>
      <c r="K24" s="37">
        <f>K23+G24</f>
        <v/>
      </c>
    </row>
    <row r="25" ht="22" customHeight="1">
      <c r="A25" s="38" t="inlineStr">
        <is>
          <t>Week 10</t>
        </is>
      </c>
      <c r="B25" s="34" t="inlineStr"/>
      <c r="C25" s="34">
        <f>IFERROR(B25+6,"")</f>
        <v/>
      </c>
      <c r="D25" s="39">
        <f>IFERROR(COUNTIFS('Daily Log'!A:A,"&gt;="&amp;B25,'Daily Log'!A:A,"&lt;="&amp;C25),0)</f>
        <v/>
      </c>
      <c r="E25" s="40">
        <f>IFERROR(COUNTIFS('Inquiry &amp; Proposals'!B:B,"&gt;="&amp;B25,'Inquiry &amp; Proposals'!B:B,"&lt;="&amp;C25),0)</f>
        <v/>
      </c>
      <c r="F25" s="40">
        <f>IFERROR(COUNTIFS('Inquiry &amp; Proposals'!B:B,"&gt;="&amp;B25,'Inquiry &amp; Proposals'!B:B,"&lt;="&amp;C25,'Inquiry &amp; Proposals'!K:K,"Proposal Submitted"),0)</f>
        <v/>
      </c>
      <c r="G25" s="41">
        <f>IFERROR(COUNTIFS('Win-Loss Register'!B:B,"&gt;="&amp;B25,'Win-Loss Register'!B:B,"&lt;="&amp;C25,'Win-Loss Register'!E:E,"Won"),0)</f>
        <v/>
      </c>
      <c r="H25" s="37">
        <f>H24+D25</f>
        <v/>
      </c>
      <c r="I25" s="37">
        <f>I24+E25</f>
        <v/>
      </c>
      <c r="J25" s="37">
        <f>J24+F25</f>
        <v/>
      </c>
      <c r="K25" s="37">
        <f>K24+G25</f>
        <v/>
      </c>
    </row>
    <row r="26" ht="22" customHeight="1">
      <c r="A26" s="19" t="inlineStr">
        <is>
          <t>Week 11</t>
        </is>
      </c>
      <c r="B26" s="34" t="inlineStr"/>
      <c r="C26" s="34">
        <f>IFERROR(B26+6,"")</f>
        <v/>
      </c>
      <c r="D26" s="35">
        <f>IFERROR(COUNTIFS('Daily Log'!A:A,"&gt;="&amp;B26,'Daily Log'!A:A,"&lt;="&amp;C26),0)</f>
        <v/>
      </c>
      <c r="E26" s="16">
        <f>IFERROR(COUNTIFS('Inquiry &amp; Proposals'!B:B,"&gt;="&amp;B26,'Inquiry &amp; Proposals'!B:B,"&lt;="&amp;C26),0)</f>
        <v/>
      </c>
      <c r="F26" s="16">
        <f>IFERROR(COUNTIFS('Inquiry &amp; Proposals'!B:B,"&gt;="&amp;B26,'Inquiry &amp; Proposals'!B:B,"&lt;="&amp;C26,'Inquiry &amp; Proposals'!K:K,"Proposal Submitted"),0)</f>
        <v/>
      </c>
      <c r="G26" s="36">
        <f>IFERROR(COUNTIFS('Win-Loss Register'!B:B,"&gt;="&amp;B26,'Win-Loss Register'!B:B,"&lt;="&amp;C26,'Win-Loss Register'!E:E,"Won"),0)</f>
        <v/>
      </c>
      <c r="H26" s="37">
        <f>H25+D26</f>
        <v/>
      </c>
      <c r="I26" s="37">
        <f>I25+E26</f>
        <v/>
      </c>
      <c r="J26" s="37">
        <f>J25+F26</f>
        <v/>
      </c>
      <c r="K26" s="37">
        <f>K25+G26</f>
        <v/>
      </c>
    </row>
    <row r="27" ht="22" customHeight="1">
      <c r="A27" s="38" t="inlineStr">
        <is>
          <t>Week 12</t>
        </is>
      </c>
      <c r="B27" s="34" t="inlineStr"/>
      <c r="C27" s="34">
        <f>IFERROR(B27+6,"")</f>
        <v/>
      </c>
      <c r="D27" s="39">
        <f>IFERROR(COUNTIFS('Daily Log'!A:A,"&gt;="&amp;B27,'Daily Log'!A:A,"&lt;="&amp;C27),0)</f>
        <v/>
      </c>
      <c r="E27" s="40">
        <f>IFERROR(COUNTIFS('Inquiry &amp; Proposals'!B:B,"&gt;="&amp;B27,'Inquiry &amp; Proposals'!B:B,"&lt;="&amp;C27),0)</f>
        <v/>
      </c>
      <c r="F27" s="40">
        <f>IFERROR(COUNTIFS('Inquiry &amp; Proposals'!B:B,"&gt;="&amp;B27,'Inquiry &amp; Proposals'!B:B,"&lt;="&amp;C27,'Inquiry &amp; Proposals'!K:K,"Proposal Submitted"),0)</f>
        <v/>
      </c>
      <c r="G27" s="41">
        <f>IFERROR(COUNTIFS('Win-Loss Register'!B:B,"&gt;="&amp;B27,'Win-Loss Register'!B:B,"&lt;="&amp;C27,'Win-Loss Register'!E:E,"Won"),0)</f>
        <v/>
      </c>
      <c r="H27" s="37">
        <f>H26+D27</f>
        <v/>
      </c>
      <c r="I27" s="37">
        <f>I26+E27</f>
        <v/>
      </c>
      <c r="J27" s="37">
        <f>J26+F27</f>
        <v/>
      </c>
      <c r="K27" s="37">
        <f>K26+G27</f>
        <v/>
      </c>
    </row>
    <row r="28" ht="26" customHeight="1">
      <c r="A28" s="42" t="inlineStr">
        <is>
          <t>TOTAL / CUMULATIVE</t>
        </is>
      </c>
      <c r="B28" s="43" t="inlineStr"/>
      <c r="C28" s="43" t="inlineStr"/>
      <c r="D28" s="44">
        <f>SUM(D16:D27)</f>
        <v/>
      </c>
      <c r="E28" s="44">
        <f>SUM(E16:E27)</f>
        <v/>
      </c>
      <c r="F28" s="44">
        <f>SUM(F16:F27)</f>
        <v/>
      </c>
      <c r="G28" s="44">
        <f>SUM(G16:G27)</f>
        <v/>
      </c>
      <c r="H28" s="45">
        <f>IFERROR(H27,0)</f>
        <v/>
      </c>
      <c r="I28" s="45">
        <f>IFERROR(I27,0)</f>
        <v/>
      </c>
      <c r="J28" s="45">
        <f>IFERROR(J27,0)</f>
        <v/>
      </c>
      <c r="K28" s="45">
        <f>IFERROR(K27,0)</f>
        <v/>
      </c>
    </row>
    <row r="50" ht="8" customHeight="1"/>
    <row r="51" ht="24" customHeight="1">
      <c r="A51" s="46" t="inlineStr">
        <is>
          <t>▶  MANAGER MONTHLY REVIEW  (Completed by Sales Manager Only)</t>
        </is>
      </c>
    </row>
    <row r="52" ht="26" customHeight="1">
      <c r="A52" s="47" t="inlineStr">
        <is>
          <t>Assessment Area</t>
        </is>
      </c>
      <c r="B52" s="47" t="inlineStr">
        <is>
          <t>Score (1–5)</t>
        </is>
      </c>
      <c r="C52" s="47" t="inlineStr">
        <is>
          <t>Manager Comments / Observations</t>
        </is>
      </c>
      <c r="D52" s="47" t="inlineStr">
        <is>
          <t>Action Required</t>
        </is>
      </c>
      <c r="E52" s="47" t="inlineStr">
        <is>
          <t>Review Date</t>
        </is>
      </c>
    </row>
    <row r="53" ht="28" customHeight="1">
      <c r="A53" s="48" t="inlineStr">
        <is>
          <t>Volume &amp; consistency of daily engagements</t>
        </is>
      </c>
      <c r="B53" s="49" t="inlineStr"/>
      <c r="C53" s="50" t="inlineStr"/>
      <c r="D53" s="50" t="inlineStr"/>
      <c r="E53" s="51" t="inlineStr"/>
    </row>
    <row r="54" ht="28" customHeight="1">
      <c r="A54" s="52" t="inlineStr">
        <is>
          <t>Quality of inquiry generation from meetings</t>
        </is>
      </c>
      <c r="B54" s="49" t="inlineStr"/>
      <c r="C54" s="53" t="inlineStr"/>
      <c r="D54" s="53" t="inlineStr"/>
      <c r="E54" s="54" t="inlineStr"/>
    </row>
    <row r="55" ht="28" customHeight="1">
      <c r="A55" s="48" t="inlineStr">
        <is>
          <t>Proposal track selection (In-house vs Subcontract) appropriateness</t>
        </is>
      </c>
      <c r="B55" s="49" t="inlineStr"/>
      <c r="C55" s="50" t="inlineStr"/>
      <c r="D55" s="50" t="inlineStr"/>
      <c r="E55" s="51" t="inlineStr"/>
    </row>
    <row r="56" ht="28" customHeight="1">
      <c r="A56" s="52" t="inlineStr">
        <is>
          <t>Subcontractor evaluation rigour (pricing, quality, margin)</t>
        </is>
      </c>
      <c r="B56" s="49" t="inlineStr"/>
      <c r="C56" s="53" t="inlineStr"/>
      <c r="D56" s="53" t="inlineStr"/>
      <c r="E56" s="54" t="inlineStr"/>
    </row>
    <row r="57" ht="28" customHeight="1">
      <c r="A57" s="48" t="inlineStr">
        <is>
          <t>Follow-up discipline — pending items actioned on time</t>
        </is>
      </c>
      <c r="B57" s="49" t="inlineStr"/>
      <c r="C57" s="50" t="inlineStr"/>
      <c r="D57" s="50" t="inlineStr"/>
      <c r="E57" s="51" t="inlineStr"/>
    </row>
    <row r="58" ht="28" customHeight="1">
      <c r="A58" s="52" t="inlineStr">
        <is>
          <t>Win/Loss analysis — lessons identified and applied</t>
        </is>
      </c>
      <c r="B58" s="49" t="inlineStr"/>
      <c r="C58" s="53" t="inlineStr"/>
      <c r="D58" s="53" t="inlineStr"/>
      <c r="E58" s="54" t="inlineStr"/>
    </row>
    <row r="59" ht="30" customHeight="1">
      <c r="A59" s="55" t="inlineStr">
        <is>
          <t>OVERALL VERDICT</t>
        </is>
      </c>
      <c r="B59" s="56">
        <f>IFERROR(AVERAGE(B53:B58),"")</f>
        <v/>
      </c>
      <c r="C59" s="57" t="inlineStr">
        <is>
          <t>[Overall manager comments]</t>
        </is>
      </c>
      <c r="D59" s="4" t="n"/>
      <c r="E59" s="49" t="inlineStr"/>
    </row>
  </sheetData>
  <mergeCells count="16">
    <mergeCell ref="A6:N6"/>
    <mergeCell ref="C56"/>
    <mergeCell ref="D4:F4"/>
    <mergeCell ref="A2:N2"/>
    <mergeCell ref="G4:I4"/>
    <mergeCell ref="J4:L4"/>
    <mergeCell ref="A51:N51"/>
    <mergeCell ref="C54"/>
    <mergeCell ref="C53"/>
    <mergeCell ref="A4:C4"/>
    <mergeCell ref="C58"/>
    <mergeCell ref="C59:D59"/>
    <mergeCell ref="A14:N14"/>
    <mergeCell ref="C57"/>
    <mergeCell ref="C55"/>
    <mergeCell ref="A1:N1"/>
  </mergeCells>
  <dataValidations count="2">
    <dataValidation sqref="B53 B54 B55 B56 B57 B58" showDropDown="0" showInputMessage="0" showErrorMessage="0" allowBlank="1" type="list">
      <formula1>"1,2,3,4,5"</formula1>
    </dataValidation>
    <dataValidation sqref="E59" showDropDown="0" showInputMessage="0" showErrorMessage="0" allowBlank="1" type="list">
      <formula1>"✔ Performing,⚠ Needs Improvement,✘ Under-Performing,🔒 PIP Required"</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04"/>
  <sheetViews>
    <sheetView showGridLines="0" workbookViewId="0">
      <pane ySplit="4" topLeftCell="A5" activePane="bottomLeft" state="frozen"/>
      <selection pane="bottomLeft" activeCell="A1" sqref="A1"/>
    </sheetView>
  </sheetViews>
  <sheetFormatPr baseColWidth="8" defaultRowHeight="15"/>
  <cols>
    <col width="11" customWidth="1" min="1" max="1"/>
    <col width="20" customWidth="1" min="2" max="2"/>
    <col width="26" customWidth="1" min="3" max="3"/>
    <col width="20" customWidth="1" min="4" max="4"/>
    <col width="16" customWidth="1" min="5" max="5"/>
    <col width="18" customWidth="1" min="6" max="6"/>
    <col width="22" customWidth="1" min="7" max="7"/>
    <col width="16" customWidth="1" min="8" max="8"/>
    <col width="16" customWidth="1" min="9" max="9"/>
    <col width="28" customWidth="1" min="10" max="10"/>
    <col width="14" customWidth="1" min="11" max="11"/>
    <col width="14" customWidth="1" min="12" max="12"/>
    <col width="22" customWidth="1" min="13" max="13"/>
    <col width="14" customWidth="1" min="14" max="14"/>
    <col width="16" customWidth="1" min="15" max="15"/>
    <col width="18" customWidth="1" min="16" max="16"/>
  </cols>
  <sheetData>
    <row r="1" ht="30" customHeight="1">
      <c r="A1" s="58" t="inlineStr">
        <is>
          <t>DAILY ACTIVITY LOG — [Salesperson Name]</t>
        </is>
      </c>
    </row>
    <row r="2" ht="16" customHeight="1">
      <c r="A2" s="2" t="inlineStr">
        <is>
          <t>Log EVERY engagement. Every row must have a Follow-up Date and Inquiry ID if applicable. Column P reviewed by Manager.</t>
        </is>
      </c>
    </row>
    <row r="3" ht="6" customHeight="1"/>
    <row r="4" ht="36" customHeight="1">
      <c r="A4" s="7" t="inlineStr">
        <is>
          <t>Date</t>
        </is>
      </c>
      <c r="B4" s="7" t="inlineStr">
        <is>
          <t>Activity Type</t>
        </is>
      </c>
      <c r="C4" s="7" t="inlineStr">
        <is>
          <t>Company / Project</t>
        </is>
      </c>
      <c r="D4" s="7" t="inlineStr">
        <is>
          <t>Contact Person</t>
        </is>
      </c>
      <c r="E4" s="7" t="inlineStr">
        <is>
          <t>Designation</t>
        </is>
      </c>
      <c r="F4" s="7" t="inlineStr">
        <is>
          <t>Inquiry Source</t>
        </is>
      </c>
      <c r="G4" s="7" t="inlineStr">
        <is>
          <t>Purpose / Discussion Summary</t>
        </is>
      </c>
      <c r="H4" s="7" t="inlineStr">
        <is>
          <t>Project Stage</t>
        </is>
      </c>
      <c r="I4" s="7" t="inlineStr">
        <is>
          <t>Est. Value (AED)</t>
        </is>
      </c>
      <c r="J4" s="7" t="inlineStr">
        <is>
          <t>Key Outcome Achieved</t>
        </is>
      </c>
      <c r="K4" s="7" t="inlineStr">
        <is>
          <t>Inquiry Raised? (Y/N)</t>
        </is>
      </c>
      <c r="L4" s="7" t="inlineStr">
        <is>
          <t>Inquiry ID
(link to tracker)</t>
        </is>
      </c>
      <c r="M4" s="7" t="inlineStr">
        <is>
          <t>Next Action</t>
        </is>
      </c>
      <c r="N4" s="7" t="inlineStr">
        <is>
          <t>Follow-up Date</t>
        </is>
      </c>
      <c r="O4" s="7" t="inlineStr">
        <is>
          <t>GPS+Photo?</t>
        </is>
      </c>
      <c r="P4" s="47" t="inlineStr">
        <is>
          <t>Productive?
(Manager)</t>
        </is>
      </c>
    </row>
    <row r="5" ht="32" customHeight="1">
      <c r="A5" s="59" t="inlineStr"/>
      <c r="B5" s="59" t="inlineStr"/>
      <c r="C5" s="60" t="inlineStr"/>
      <c r="D5" s="60" t="inlineStr"/>
      <c r="E5" s="60" t="inlineStr"/>
      <c r="F5" s="59" t="inlineStr"/>
      <c r="G5" s="60" t="inlineStr"/>
      <c r="H5" s="59" t="inlineStr"/>
      <c r="I5" s="60" t="inlineStr"/>
      <c r="J5" s="60" t="inlineStr"/>
      <c r="K5" s="59" t="inlineStr"/>
      <c r="L5" s="59" t="inlineStr"/>
      <c r="M5" s="60" t="inlineStr"/>
      <c r="N5" s="59" t="inlineStr"/>
      <c r="O5" s="59" t="inlineStr"/>
      <c r="P5" s="61" t="inlineStr"/>
    </row>
    <row r="6" ht="32" customHeight="1">
      <c r="A6" s="62" t="inlineStr"/>
      <c r="B6" s="62" t="inlineStr"/>
      <c r="C6" s="63" t="inlineStr"/>
      <c r="D6" s="63" t="inlineStr"/>
      <c r="E6" s="63" t="inlineStr"/>
      <c r="F6" s="62" t="inlineStr"/>
      <c r="G6" s="63" t="inlineStr"/>
      <c r="H6" s="62" t="inlineStr"/>
      <c r="I6" s="63" t="inlineStr"/>
      <c r="J6" s="63" t="inlineStr"/>
      <c r="K6" s="62" t="inlineStr"/>
      <c r="L6" s="62" t="inlineStr"/>
      <c r="M6" s="63" t="inlineStr"/>
      <c r="N6" s="62" t="inlineStr"/>
      <c r="O6" s="62" t="inlineStr"/>
      <c r="P6" s="61" t="inlineStr"/>
    </row>
    <row r="7" ht="32" customHeight="1">
      <c r="A7" s="59" t="inlineStr"/>
      <c r="B7" s="59" t="inlineStr"/>
      <c r="C7" s="60" t="inlineStr"/>
      <c r="D7" s="60" t="inlineStr"/>
      <c r="E7" s="60" t="inlineStr"/>
      <c r="F7" s="59" t="inlineStr"/>
      <c r="G7" s="60" t="inlineStr"/>
      <c r="H7" s="59" t="inlineStr"/>
      <c r="I7" s="60" t="inlineStr"/>
      <c r="J7" s="60" t="inlineStr"/>
      <c r="K7" s="59" t="inlineStr"/>
      <c r="L7" s="59" t="inlineStr"/>
      <c r="M7" s="60" t="inlineStr"/>
      <c r="N7" s="59" t="inlineStr"/>
      <c r="O7" s="59" t="inlineStr"/>
      <c r="P7" s="61" t="inlineStr"/>
    </row>
    <row r="8" ht="32" customHeight="1">
      <c r="A8" s="62" t="inlineStr"/>
      <c r="B8" s="62" t="inlineStr"/>
      <c r="C8" s="63" t="inlineStr"/>
      <c r="D8" s="63" t="inlineStr"/>
      <c r="E8" s="63" t="inlineStr"/>
      <c r="F8" s="62" t="inlineStr"/>
      <c r="G8" s="63" t="inlineStr"/>
      <c r="H8" s="62" t="inlineStr"/>
      <c r="I8" s="63" t="inlineStr"/>
      <c r="J8" s="63" t="inlineStr"/>
      <c r="K8" s="62" t="inlineStr"/>
      <c r="L8" s="62" t="inlineStr"/>
      <c r="M8" s="63" t="inlineStr"/>
      <c r="N8" s="62" t="inlineStr"/>
      <c r="O8" s="62" t="inlineStr"/>
      <c r="P8" s="61" t="inlineStr"/>
    </row>
    <row r="9" ht="32" customHeight="1">
      <c r="A9" s="59" t="inlineStr"/>
      <c r="B9" s="59" t="inlineStr"/>
      <c r="C9" s="60" t="inlineStr"/>
      <c r="D9" s="60" t="inlineStr"/>
      <c r="E9" s="60" t="inlineStr"/>
      <c r="F9" s="59" t="inlineStr"/>
      <c r="G9" s="60" t="inlineStr"/>
      <c r="H9" s="59" t="inlineStr"/>
      <c r="I9" s="60" t="inlineStr"/>
      <c r="J9" s="60" t="inlineStr"/>
      <c r="K9" s="59" t="inlineStr"/>
      <c r="L9" s="59" t="inlineStr"/>
      <c r="M9" s="60" t="inlineStr"/>
      <c r="N9" s="59" t="inlineStr"/>
      <c r="O9" s="59" t="inlineStr"/>
      <c r="P9" s="61" t="inlineStr"/>
    </row>
    <row r="10" ht="32" customHeight="1">
      <c r="A10" s="62" t="inlineStr"/>
      <c r="B10" s="62" t="inlineStr"/>
      <c r="C10" s="63" t="inlineStr"/>
      <c r="D10" s="63" t="inlineStr"/>
      <c r="E10" s="63" t="inlineStr"/>
      <c r="F10" s="62" t="inlineStr"/>
      <c r="G10" s="63" t="inlineStr"/>
      <c r="H10" s="62" t="inlineStr"/>
      <c r="I10" s="63" t="inlineStr"/>
      <c r="J10" s="63" t="inlineStr"/>
      <c r="K10" s="62" t="inlineStr"/>
      <c r="L10" s="62" t="inlineStr"/>
      <c r="M10" s="63" t="inlineStr"/>
      <c r="N10" s="62" t="inlineStr"/>
      <c r="O10" s="62" t="inlineStr"/>
      <c r="P10" s="61" t="inlineStr"/>
    </row>
    <row r="11" ht="32" customHeight="1">
      <c r="A11" s="59" t="inlineStr"/>
      <c r="B11" s="59" t="inlineStr"/>
      <c r="C11" s="60" t="inlineStr"/>
      <c r="D11" s="60" t="inlineStr"/>
      <c r="E11" s="60" t="inlineStr"/>
      <c r="F11" s="59" t="inlineStr"/>
      <c r="G11" s="60" t="inlineStr"/>
      <c r="H11" s="59" t="inlineStr"/>
      <c r="I11" s="60" t="inlineStr"/>
      <c r="J11" s="60" t="inlineStr"/>
      <c r="K11" s="59" t="inlineStr"/>
      <c r="L11" s="59" t="inlineStr"/>
      <c r="M11" s="60" t="inlineStr"/>
      <c r="N11" s="59" t="inlineStr"/>
      <c r="O11" s="59" t="inlineStr"/>
      <c r="P11" s="61" t="inlineStr"/>
    </row>
    <row r="12" ht="32" customHeight="1">
      <c r="A12" s="62" t="inlineStr"/>
      <c r="B12" s="62" t="inlineStr"/>
      <c r="C12" s="63" t="inlineStr"/>
      <c r="D12" s="63" t="inlineStr"/>
      <c r="E12" s="63" t="inlineStr"/>
      <c r="F12" s="62" t="inlineStr"/>
      <c r="G12" s="63" t="inlineStr"/>
      <c r="H12" s="62" t="inlineStr"/>
      <c r="I12" s="63" t="inlineStr"/>
      <c r="J12" s="63" t="inlineStr"/>
      <c r="K12" s="62" t="inlineStr"/>
      <c r="L12" s="62" t="inlineStr"/>
      <c r="M12" s="63" t="inlineStr"/>
      <c r="N12" s="62" t="inlineStr"/>
      <c r="O12" s="62" t="inlineStr"/>
      <c r="P12" s="61" t="inlineStr"/>
    </row>
    <row r="13" ht="32" customHeight="1">
      <c r="A13" s="59" t="inlineStr"/>
      <c r="B13" s="59" t="inlineStr"/>
      <c r="C13" s="60" t="inlineStr"/>
      <c r="D13" s="60" t="inlineStr"/>
      <c r="E13" s="60" t="inlineStr"/>
      <c r="F13" s="59" t="inlineStr"/>
      <c r="G13" s="60" t="inlineStr"/>
      <c r="H13" s="59" t="inlineStr"/>
      <c r="I13" s="60" t="inlineStr"/>
      <c r="J13" s="60" t="inlineStr"/>
      <c r="K13" s="59" t="inlineStr"/>
      <c r="L13" s="59" t="inlineStr"/>
      <c r="M13" s="60" t="inlineStr"/>
      <c r="N13" s="59" t="inlineStr"/>
      <c r="O13" s="59" t="inlineStr"/>
      <c r="P13" s="61" t="inlineStr"/>
    </row>
    <row r="14" ht="32" customHeight="1">
      <c r="A14" s="62" t="inlineStr"/>
      <c r="B14" s="62" t="inlineStr"/>
      <c r="C14" s="63" t="inlineStr"/>
      <c r="D14" s="63" t="inlineStr"/>
      <c r="E14" s="63" t="inlineStr"/>
      <c r="F14" s="62" t="inlineStr"/>
      <c r="G14" s="63" t="inlineStr"/>
      <c r="H14" s="62" t="inlineStr"/>
      <c r="I14" s="63" t="inlineStr"/>
      <c r="J14" s="63" t="inlineStr"/>
      <c r="K14" s="62" t="inlineStr"/>
      <c r="L14" s="62" t="inlineStr"/>
      <c r="M14" s="63" t="inlineStr"/>
      <c r="N14" s="62" t="inlineStr"/>
      <c r="O14" s="62" t="inlineStr"/>
      <c r="P14" s="61" t="inlineStr"/>
    </row>
    <row r="15" ht="32" customHeight="1">
      <c r="A15" s="59" t="inlineStr"/>
      <c r="B15" s="59" t="inlineStr"/>
      <c r="C15" s="60" t="inlineStr"/>
      <c r="D15" s="60" t="inlineStr"/>
      <c r="E15" s="60" t="inlineStr"/>
      <c r="F15" s="59" t="inlineStr"/>
      <c r="G15" s="60" t="inlineStr"/>
      <c r="H15" s="59" t="inlineStr"/>
      <c r="I15" s="60" t="inlineStr"/>
      <c r="J15" s="60" t="inlineStr"/>
      <c r="K15" s="59" t="inlineStr"/>
      <c r="L15" s="59" t="inlineStr"/>
      <c r="M15" s="60" t="inlineStr"/>
      <c r="N15" s="59" t="inlineStr"/>
      <c r="O15" s="59" t="inlineStr"/>
      <c r="P15" s="61" t="inlineStr"/>
    </row>
    <row r="16" ht="32" customHeight="1">
      <c r="A16" s="62" t="inlineStr"/>
      <c r="B16" s="62" t="inlineStr"/>
      <c r="C16" s="63" t="inlineStr"/>
      <c r="D16" s="63" t="inlineStr"/>
      <c r="E16" s="63" t="inlineStr"/>
      <c r="F16" s="62" t="inlineStr"/>
      <c r="G16" s="63" t="inlineStr"/>
      <c r="H16" s="62" t="inlineStr"/>
      <c r="I16" s="63" t="inlineStr"/>
      <c r="J16" s="63" t="inlineStr"/>
      <c r="K16" s="62" t="inlineStr"/>
      <c r="L16" s="62" t="inlineStr"/>
      <c r="M16" s="63" t="inlineStr"/>
      <c r="N16" s="62" t="inlineStr"/>
      <c r="O16" s="62" t="inlineStr"/>
      <c r="P16" s="61" t="inlineStr"/>
    </row>
    <row r="17" ht="32" customHeight="1">
      <c r="A17" s="59" t="inlineStr"/>
      <c r="B17" s="59" t="inlineStr"/>
      <c r="C17" s="60" t="inlineStr"/>
      <c r="D17" s="60" t="inlineStr"/>
      <c r="E17" s="60" t="inlineStr"/>
      <c r="F17" s="59" t="inlineStr"/>
      <c r="G17" s="60" t="inlineStr"/>
      <c r="H17" s="59" t="inlineStr"/>
      <c r="I17" s="60" t="inlineStr"/>
      <c r="J17" s="60" t="inlineStr"/>
      <c r="K17" s="59" t="inlineStr"/>
      <c r="L17" s="59" t="inlineStr"/>
      <c r="M17" s="60" t="inlineStr"/>
      <c r="N17" s="59" t="inlineStr"/>
      <c r="O17" s="59" t="inlineStr"/>
      <c r="P17" s="61" t="inlineStr"/>
    </row>
    <row r="18" ht="32" customHeight="1">
      <c r="A18" s="62" t="inlineStr"/>
      <c r="B18" s="62" t="inlineStr"/>
      <c r="C18" s="63" t="inlineStr"/>
      <c r="D18" s="63" t="inlineStr"/>
      <c r="E18" s="63" t="inlineStr"/>
      <c r="F18" s="62" t="inlineStr"/>
      <c r="G18" s="63" t="inlineStr"/>
      <c r="H18" s="62" t="inlineStr"/>
      <c r="I18" s="63" t="inlineStr"/>
      <c r="J18" s="63" t="inlineStr"/>
      <c r="K18" s="62" t="inlineStr"/>
      <c r="L18" s="62" t="inlineStr"/>
      <c r="M18" s="63" t="inlineStr"/>
      <c r="N18" s="62" t="inlineStr"/>
      <c r="O18" s="62" t="inlineStr"/>
      <c r="P18" s="61" t="inlineStr"/>
    </row>
    <row r="19" ht="32" customHeight="1">
      <c r="A19" s="59" t="inlineStr"/>
      <c r="B19" s="59" t="inlineStr"/>
      <c r="C19" s="60" t="inlineStr"/>
      <c r="D19" s="60" t="inlineStr"/>
      <c r="E19" s="60" t="inlineStr"/>
      <c r="F19" s="59" t="inlineStr"/>
      <c r="G19" s="60" t="inlineStr"/>
      <c r="H19" s="59" t="inlineStr"/>
      <c r="I19" s="60" t="inlineStr"/>
      <c r="J19" s="60" t="inlineStr"/>
      <c r="K19" s="59" t="inlineStr"/>
      <c r="L19" s="59" t="inlineStr"/>
      <c r="M19" s="60" t="inlineStr"/>
      <c r="N19" s="59" t="inlineStr"/>
      <c r="O19" s="59" t="inlineStr"/>
      <c r="P19" s="61" t="inlineStr"/>
    </row>
    <row r="20" ht="32" customHeight="1">
      <c r="A20" s="62" t="inlineStr"/>
      <c r="B20" s="62" t="inlineStr"/>
      <c r="C20" s="63" t="inlineStr"/>
      <c r="D20" s="63" t="inlineStr"/>
      <c r="E20" s="63" t="inlineStr"/>
      <c r="F20" s="62" t="inlineStr"/>
      <c r="G20" s="63" t="inlineStr"/>
      <c r="H20" s="62" t="inlineStr"/>
      <c r="I20" s="63" t="inlineStr"/>
      <c r="J20" s="63" t="inlineStr"/>
      <c r="K20" s="62" t="inlineStr"/>
      <c r="L20" s="62" t="inlineStr"/>
      <c r="M20" s="63" t="inlineStr"/>
      <c r="N20" s="62" t="inlineStr"/>
      <c r="O20" s="62" t="inlineStr"/>
      <c r="P20" s="61" t="inlineStr"/>
    </row>
    <row r="21" ht="32" customHeight="1">
      <c r="A21" s="59" t="inlineStr"/>
      <c r="B21" s="59" t="inlineStr"/>
      <c r="C21" s="60" t="inlineStr"/>
      <c r="D21" s="60" t="inlineStr"/>
      <c r="E21" s="60" t="inlineStr"/>
      <c r="F21" s="59" t="inlineStr"/>
      <c r="G21" s="60" t="inlineStr"/>
      <c r="H21" s="59" t="inlineStr"/>
      <c r="I21" s="60" t="inlineStr"/>
      <c r="J21" s="60" t="inlineStr"/>
      <c r="K21" s="59" t="inlineStr"/>
      <c r="L21" s="59" t="inlineStr"/>
      <c r="M21" s="60" t="inlineStr"/>
      <c r="N21" s="59" t="inlineStr"/>
      <c r="O21" s="59" t="inlineStr"/>
      <c r="P21" s="61" t="inlineStr"/>
    </row>
    <row r="22" ht="32" customHeight="1">
      <c r="A22" s="62" t="inlineStr"/>
      <c r="B22" s="62" t="inlineStr"/>
      <c r="C22" s="63" t="inlineStr"/>
      <c r="D22" s="63" t="inlineStr"/>
      <c r="E22" s="63" t="inlineStr"/>
      <c r="F22" s="62" t="inlineStr"/>
      <c r="G22" s="63" t="inlineStr"/>
      <c r="H22" s="62" t="inlineStr"/>
      <c r="I22" s="63" t="inlineStr"/>
      <c r="J22" s="63" t="inlineStr"/>
      <c r="K22" s="62" t="inlineStr"/>
      <c r="L22" s="62" t="inlineStr"/>
      <c r="M22" s="63" t="inlineStr"/>
      <c r="N22" s="62" t="inlineStr"/>
      <c r="O22" s="62" t="inlineStr"/>
      <c r="P22" s="61" t="inlineStr"/>
    </row>
    <row r="23" ht="32" customHeight="1">
      <c r="A23" s="59" t="inlineStr"/>
      <c r="B23" s="59" t="inlineStr"/>
      <c r="C23" s="60" t="inlineStr"/>
      <c r="D23" s="60" t="inlineStr"/>
      <c r="E23" s="60" t="inlineStr"/>
      <c r="F23" s="59" t="inlineStr"/>
      <c r="G23" s="60" t="inlineStr"/>
      <c r="H23" s="59" t="inlineStr"/>
      <c r="I23" s="60" t="inlineStr"/>
      <c r="J23" s="60" t="inlineStr"/>
      <c r="K23" s="59" t="inlineStr"/>
      <c r="L23" s="59" t="inlineStr"/>
      <c r="M23" s="60" t="inlineStr"/>
      <c r="N23" s="59" t="inlineStr"/>
      <c r="O23" s="59" t="inlineStr"/>
      <c r="P23" s="61" t="inlineStr"/>
    </row>
    <row r="24" ht="32" customHeight="1">
      <c r="A24" s="62" t="inlineStr"/>
      <c r="B24" s="62" t="inlineStr"/>
      <c r="C24" s="63" t="inlineStr"/>
      <c r="D24" s="63" t="inlineStr"/>
      <c r="E24" s="63" t="inlineStr"/>
      <c r="F24" s="62" t="inlineStr"/>
      <c r="G24" s="63" t="inlineStr"/>
      <c r="H24" s="62" t="inlineStr"/>
      <c r="I24" s="63" t="inlineStr"/>
      <c r="J24" s="63" t="inlineStr"/>
      <c r="K24" s="62" t="inlineStr"/>
      <c r="L24" s="62" t="inlineStr"/>
      <c r="M24" s="63" t="inlineStr"/>
      <c r="N24" s="62" t="inlineStr"/>
      <c r="O24" s="62" t="inlineStr"/>
      <c r="P24" s="61" t="inlineStr"/>
    </row>
    <row r="25" ht="32" customHeight="1">
      <c r="A25" s="59" t="inlineStr"/>
      <c r="B25" s="59" t="inlineStr"/>
      <c r="C25" s="60" t="inlineStr"/>
      <c r="D25" s="60" t="inlineStr"/>
      <c r="E25" s="60" t="inlineStr"/>
      <c r="F25" s="59" t="inlineStr"/>
      <c r="G25" s="60" t="inlineStr"/>
      <c r="H25" s="59" t="inlineStr"/>
      <c r="I25" s="60" t="inlineStr"/>
      <c r="J25" s="60" t="inlineStr"/>
      <c r="K25" s="59" t="inlineStr"/>
      <c r="L25" s="59" t="inlineStr"/>
      <c r="M25" s="60" t="inlineStr"/>
      <c r="N25" s="59" t="inlineStr"/>
      <c r="O25" s="59" t="inlineStr"/>
      <c r="P25" s="61" t="inlineStr"/>
    </row>
    <row r="26" ht="32" customHeight="1">
      <c r="A26" s="62" t="inlineStr"/>
      <c r="B26" s="62" t="inlineStr"/>
      <c r="C26" s="63" t="inlineStr"/>
      <c r="D26" s="63" t="inlineStr"/>
      <c r="E26" s="63" t="inlineStr"/>
      <c r="F26" s="62" t="inlineStr"/>
      <c r="G26" s="63" t="inlineStr"/>
      <c r="H26" s="62" t="inlineStr"/>
      <c r="I26" s="63" t="inlineStr"/>
      <c r="J26" s="63" t="inlineStr"/>
      <c r="K26" s="62" t="inlineStr"/>
      <c r="L26" s="62" t="inlineStr"/>
      <c r="M26" s="63" t="inlineStr"/>
      <c r="N26" s="62" t="inlineStr"/>
      <c r="O26" s="62" t="inlineStr"/>
      <c r="P26" s="61" t="inlineStr"/>
    </row>
    <row r="27" ht="32" customHeight="1">
      <c r="A27" s="59" t="inlineStr"/>
      <c r="B27" s="59" t="inlineStr"/>
      <c r="C27" s="60" t="inlineStr"/>
      <c r="D27" s="60" t="inlineStr"/>
      <c r="E27" s="60" t="inlineStr"/>
      <c r="F27" s="59" t="inlineStr"/>
      <c r="G27" s="60" t="inlineStr"/>
      <c r="H27" s="59" t="inlineStr"/>
      <c r="I27" s="60" t="inlineStr"/>
      <c r="J27" s="60" t="inlineStr"/>
      <c r="K27" s="59" t="inlineStr"/>
      <c r="L27" s="59" t="inlineStr"/>
      <c r="M27" s="60" t="inlineStr"/>
      <c r="N27" s="59" t="inlineStr"/>
      <c r="O27" s="59" t="inlineStr"/>
      <c r="P27" s="61" t="inlineStr"/>
    </row>
    <row r="28" ht="32" customHeight="1">
      <c r="A28" s="62" t="inlineStr"/>
      <c r="B28" s="62" t="inlineStr"/>
      <c r="C28" s="63" t="inlineStr"/>
      <c r="D28" s="63" t="inlineStr"/>
      <c r="E28" s="63" t="inlineStr"/>
      <c r="F28" s="62" t="inlineStr"/>
      <c r="G28" s="63" t="inlineStr"/>
      <c r="H28" s="62" t="inlineStr"/>
      <c r="I28" s="63" t="inlineStr"/>
      <c r="J28" s="63" t="inlineStr"/>
      <c r="K28" s="62" t="inlineStr"/>
      <c r="L28" s="62" t="inlineStr"/>
      <c r="M28" s="63" t="inlineStr"/>
      <c r="N28" s="62" t="inlineStr"/>
      <c r="O28" s="62" t="inlineStr"/>
      <c r="P28" s="61" t="inlineStr"/>
    </row>
    <row r="29" ht="32" customHeight="1">
      <c r="A29" s="59" t="inlineStr"/>
      <c r="B29" s="59" t="inlineStr"/>
      <c r="C29" s="60" t="inlineStr"/>
      <c r="D29" s="60" t="inlineStr"/>
      <c r="E29" s="60" t="inlineStr"/>
      <c r="F29" s="59" t="inlineStr"/>
      <c r="G29" s="60" t="inlineStr"/>
      <c r="H29" s="59" t="inlineStr"/>
      <c r="I29" s="60" t="inlineStr"/>
      <c r="J29" s="60" t="inlineStr"/>
      <c r="K29" s="59" t="inlineStr"/>
      <c r="L29" s="59" t="inlineStr"/>
      <c r="M29" s="60" t="inlineStr"/>
      <c r="N29" s="59" t="inlineStr"/>
      <c r="O29" s="59" t="inlineStr"/>
      <c r="P29" s="61" t="inlineStr"/>
    </row>
    <row r="30" ht="32" customHeight="1">
      <c r="A30" s="62" t="inlineStr"/>
      <c r="B30" s="62" t="inlineStr"/>
      <c r="C30" s="63" t="inlineStr"/>
      <c r="D30" s="63" t="inlineStr"/>
      <c r="E30" s="63" t="inlineStr"/>
      <c r="F30" s="62" t="inlineStr"/>
      <c r="G30" s="63" t="inlineStr"/>
      <c r="H30" s="62" t="inlineStr"/>
      <c r="I30" s="63" t="inlineStr"/>
      <c r="J30" s="63" t="inlineStr"/>
      <c r="K30" s="62" t="inlineStr"/>
      <c r="L30" s="62" t="inlineStr"/>
      <c r="M30" s="63" t="inlineStr"/>
      <c r="N30" s="62" t="inlineStr"/>
      <c r="O30" s="62" t="inlineStr"/>
      <c r="P30" s="61" t="inlineStr"/>
    </row>
    <row r="31" ht="32" customHeight="1">
      <c r="A31" s="59" t="inlineStr"/>
      <c r="B31" s="59" t="inlineStr"/>
      <c r="C31" s="60" t="inlineStr"/>
      <c r="D31" s="60" t="inlineStr"/>
      <c r="E31" s="60" t="inlineStr"/>
      <c r="F31" s="59" t="inlineStr"/>
      <c r="G31" s="60" t="inlineStr"/>
      <c r="H31" s="59" t="inlineStr"/>
      <c r="I31" s="60" t="inlineStr"/>
      <c r="J31" s="60" t="inlineStr"/>
      <c r="K31" s="59" t="inlineStr"/>
      <c r="L31" s="59" t="inlineStr"/>
      <c r="M31" s="60" t="inlineStr"/>
      <c r="N31" s="59" t="inlineStr"/>
      <c r="O31" s="59" t="inlineStr"/>
      <c r="P31" s="61" t="inlineStr"/>
    </row>
    <row r="32" ht="32" customHeight="1">
      <c r="A32" s="62" t="inlineStr"/>
      <c r="B32" s="62" t="inlineStr"/>
      <c r="C32" s="63" t="inlineStr"/>
      <c r="D32" s="63" t="inlineStr"/>
      <c r="E32" s="63" t="inlineStr"/>
      <c r="F32" s="62" t="inlineStr"/>
      <c r="G32" s="63" t="inlineStr"/>
      <c r="H32" s="62" t="inlineStr"/>
      <c r="I32" s="63" t="inlineStr"/>
      <c r="J32" s="63" t="inlineStr"/>
      <c r="K32" s="62" t="inlineStr"/>
      <c r="L32" s="62" t="inlineStr"/>
      <c r="M32" s="63" t="inlineStr"/>
      <c r="N32" s="62" t="inlineStr"/>
      <c r="O32" s="62" t="inlineStr"/>
      <c r="P32" s="61" t="inlineStr"/>
    </row>
    <row r="33" ht="32" customHeight="1">
      <c r="A33" s="59" t="inlineStr"/>
      <c r="B33" s="59" t="inlineStr"/>
      <c r="C33" s="60" t="inlineStr"/>
      <c r="D33" s="60" t="inlineStr"/>
      <c r="E33" s="60" t="inlineStr"/>
      <c r="F33" s="59" t="inlineStr"/>
      <c r="G33" s="60" t="inlineStr"/>
      <c r="H33" s="59" t="inlineStr"/>
      <c r="I33" s="60" t="inlineStr"/>
      <c r="J33" s="60" t="inlineStr"/>
      <c r="K33" s="59" t="inlineStr"/>
      <c r="L33" s="59" t="inlineStr"/>
      <c r="M33" s="60" t="inlineStr"/>
      <c r="N33" s="59" t="inlineStr"/>
      <c r="O33" s="59" t="inlineStr"/>
      <c r="P33" s="61" t="inlineStr"/>
    </row>
    <row r="34" ht="32" customHeight="1">
      <c r="A34" s="62" t="inlineStr"/>
      <c r="B34" s="62" t="inlineStr"/>
      <c r="C34" s="63" t="inlineStr"/>
      <c r="D34" s="63" t="inlineStr"/>
      <c r="E34" s="63" t="inlineStr"/>
      <c r="F34" s="62" t="inlineStr"/>
      <c r="G34" s="63" t="inlineStr"/>
      <c r="H34" s="62" t="inlineStr"/>
      <c r="I34" s="63" t="inlineStr"/>
      <c r="J34" s="63" t="inlineStr"/>
      <c r="K34" s="62" t="inlineStr"/>
      <c r="L34" s="62" t="inlineStr"/>
      <c r="M34" s="63" t="inlineStr"/>
      <c r="N34" s="62" t="inlineStr"/>
      <c r="O34" s="62" t="inlineStr"/>
      <c r="P34" s="61" t="inlineStr"/>
    </row>
    <row r="35" ht="32" customHeight="1">
      <c r="A35" s="59" t="inlineStr"/>
      <c r="B35" s="59" t="inlineStr"/>
      <c r="C35" s="60" t="inlineStr"/>
      <c r="D35" s="60" t="inlineStr"/>
      <c r="E35" s="60" t="inlineStr"/>
      <c r="F35" s="59" t="inlineStr"/>
      <c r="G35" s="60" t="inlineStr"/>
      <c r="H35" s="59" t="inlineStr"/>
      <c r="I35" s="60" t="inlineStr"/>
      <c r="J35" s="60" t="inlineStr"/>
      <c r="K35" s="59" t="inlineStr"/>
      <c r="L35" s="59" t="inlineStr"/>
      <c r="M35" s="60" t="inlineStr"/>
      <c r="N35" s="59" t="inlineStr"/>
      <c r="O35" s="59" t="inlineStr"/>
      <c r="P35" s="61" t="inlineStr"/>
    </row>
    <row r="36" ht="32" customHeight="1">
      <c r="A36" s="62" t="inlineStr"/>
      <c r="B36" s="62" t="inlineStr"/>
      <c r="C36" s="63" t="inlineStr"/>
      <c r="D36" s="63" t="inlineStr"/>
      <c r="E36" s="63" t="inlineStr"/>
      <c r="F36" s="62" t="inlineStr"/>
      <c r="G36" s="63" t="inlineStr"/>
      <c r="H36" s="62" t="inlineStr"/>
      <c r="I36" s="63" t="inlineStr"/>
      <c r="J36" s="63" t="inlineStr"/>
      <c r="K36" s="62" t="inlineStr"/>
      <c r="L36" s="62" t="inlineStr"/>
      <c r="M36" s="63" t="inlineStr"/>
      <c r="N36" s="62" t="inlineStr"/>
      <c r="O36" s="62" t="inlineStr"/>
      <c r="P36" s="61" t="inlineStr"/>
    </row>
    <row r="37" ht="32" customHeight="1">
      <c r="A37" s="59" t="inlineStr"/>
      <c r="B37" s="59" t="inlineStr"/>
      <c r="C37" s="60" t="inlineStr"/>
      <c r="D37" s="60" t="inlineStr"/>
      <c r="E37" s="60" t="inlineStr"/>
      <c r="F37" s="59" t="inlineStr"/>
      <c r="G37" s="60" t="inlineStr"/>
      <c r="H37" s="59" t="inlineStr"/>
      <c r="I37" s="60" t="inlineStr"/>
      <c r="J37" s="60" t="inlineStr"/>
      <c r="K37" s="59" t="inlineStr"/>
      <c r="L37" s="59" t="inlineStr"/>
      <c r="M37" s="60" t="inlineStr"/>
      <c r="N37" s="59" t="inlineStr"/>
      <c r="O37" s="59" t="inlineStr"/>
      <c r="P37" s="61" t="inlineStr"/>
    </row>
    <row r="38" ht="32" customHeight="1">
      <c r="A38" s="62" t="inlineStr"/>
      <c r="B38" s="62" t="inlineStr"/>
      <c r="C38" s="63" t="inlineStr"/>
      <c r="D38" s="63" t="inlineStr"/>
      <c r="E38" s="63" t="inlineStr"/>
      <c r="F38" s="62" t="inlineStr"/>
      <c r="G38" s="63" t="inlineStr"/>
      <c r="H38" s="62" t="inlineStr"/>
      <c r="I38" s="63" t="inlineStr"/>
      <c r="J38" s="63" t="inlineStr"/>
      <c r="K38" s="62" t="inlineStr"/>
      <c r="L38" s="62" t="inlineStr"/>
      <c r="M38" s="63" t="inlineStr"/>
      <c r="N38" s="62" t="inlineStr"/>
      <c r="O38" s="62" t="inlineStr"/>
      <c r="P38" s="61" t="inlineStr"/>
    </row>
    <row r="39" ht="32" customHeight="1">
      <c r="A39" s="59" t="inlineStr"/>
      <c r="B39" s="59" t="inlineStr"/>
      <c r="C39" s="60" t="inlineStr"/>
      <c r="D39" s="60" t="inlineStr"/>
      <c r="E39" s="60" t="inlineStr"/>
      <c r="F39" s="59" t="inlineStr"/>
      <c r="G39" s="60" t="inlineStr"/>
      <c r="H39" s="59" t="inlineStr"/>
      <c r="I39" s="60" t="inlineStr"/>
      <c r="J39" s="60" t="inlineStr"/>
      <c r="K39" s="59" t="inlineStr"/>
      <c r="L39" s="59" t="inlineStr"/>
      <c r="M39" s="60" t="inlineStr"/>
      <c r="N39" s="59" t="inlineStr"/>
      <c r="O39" s="59" t="inlineStr"/>
      <c r="P39" s="61" t="inlineStr"/>
    </row>
    <row r="40" ht="32" customHeight="1">
      <c r="A40" s="62" t="inlineStr"/>
      <c r="B40" s="62" t="inlineStr"/>
      <c r="C40" s="63" t="inlineStr"/>
      <c r="D40" s="63" t="inlineStr"/>
      <c r="E40" s="63" t="inlineStr"/>
      <c r="F40" s="62" t="inlineStr"/>
      <c r="G40" s="63" t="inlineStr"/>
      <c r="H40" s="62" t="inlineStr"/>
      <c r="I40" s="63" t="inlineStr"/>
      <c r="J40" s="63" t="inlineStr"/>
      <c r="K40" s="62" t="inlineStr"/>
      <c r="L40" s="62" t="inlineStr"/>
      <c r="M40" s="63" t="inlineStr"/>
      <c r="N40" s="62" t="inlineStr"/>
      <c r="O40" s="62" t="inlineStr"/>
      <c r="P40" s="61" t="inlineStr"/>
    </row>
    <row r="41" ht="32" customHeight="1">
      <c r="A41" s="59" t="inlineStr"/>
      <c r="B41" s="59" t="inlineStr"/>
      <c r="C41" s="60" t="inlineStr"/>
      <c r="D41" s="60" t="inlineStr"/>
      <c r="E41" s="60" t="inlineStr"/>
      <c r="F41" s="59" t="inlineStr"/>
      <c r="G41" s="60" t="inlineStr"/>
      <c r="H41" s="59" t="inlineStr"/>
      <c r="I41" s="60" t="inlineStr"/>
      <c r="J41" s="60" t="inlineStr"/>
      <c r="K41" s="59" t="inlineStr"/>
      <c r="L41" s="59" t="inlineStr"/>
      <c r="M41" s="60" t="inlineStr"/>
      <c r="N41" s="59" t="inlineStr"/>
      <c r="O41" s="59" t="inlineStr"/>
      <c r="P41" s="61" t="inlineStr"/>
    </row>
    <row r="42" ht="32" customHeight="1">
      <c r="A42" s="62" t="inlineStr"/>
      <c r="B42" s="62" t="inlineStr"/>
      <c r="C42" s="63" t="inlineStr"/>
      <c r="D42" s="63" t="inlineStr"/>
      <c r="E42" s="63" t="inlineStr"/>
      <c r="F42" s="62" t="inlineStr"/>
      <c r="G42" s="63" t="inlineStr"/>
      <c r="H42" s="62" t="inlineStr"/>
      <c r="I42" s="63" t="inlineStr"/>
      <c r="J42" s="63" t="inlineStr"/>
      <c r="K42" s="62" t="inlineStr"/>
      <c r="L42" s="62" t="inlineStr"/>
      <c r="M42" s="63" t="inlineStr"/>
      <c r="N42" s="62" t="inlineStr"/>
      <c r="O42" s="62" t="inlineStr"/>
      <c r="P42" s="61" t="inlineStr"/>
    </row>
    <row r="43" ht="32" customHeight="1">
      <c r="A43" s="59" t="inlineStr"/>
      <c r="B43" s="59" t="inlineStr"/>
      <c r="C43" s="60" t="inlineStr"/>
      <c r="D43" s="60" t="inlineStr"/>
      <c r="E43" s="60" t="inlineStr"/>
      <c r="F43" s="59" t="inlineStr"/>
      <c r="G43" s="60" t="inlineStr"/>
      <c r="H43" s="59" t="inlineStr"/>
      <c r="I43" s="60" t="inlineStr"/>
      <c r="J43" s="60" t="inlineStr"/>
      <c r="K43" s="59" t="inlineStr"/>
      <c r="L43" s="59" t="inlineStr"/>
      <c r="M43" s="60" t="inlineStr"/>
      <c r="N43" s="59" t="inlineStr"/>
      <c r="O43" s="59" t="inlineStr"/>
      <c r="P43" s="61" t="inlineStr"/>
    </row>
    <row r="44" ht="32" customHeight="1">
      <c r="A44" s="62" t="inlineStr"/>
      <c r="B44" s="62" t="inlineStr"/>
      <c r="C44" s="63" t="inlineStr"/>
      <c r="D44" s="63" t="inlineStr"/>
      <c r="E44" s="63" t="inlineStr"/>
      <c r="F44" s="62" t="inlineStr"/>
      <c r="G44" s="63" t="inlineStr"/>
      <c r="H44" s="62" t="inlineStr"/>
      <c r="I44" s="63" t="inlineStr"/>
      <c r="J44" s="63" t="inlineStr"/>
      <c r="K44" s="62" t="inlineStr"/>
      <c r="L44" s="62" t="inlineStr"/>
      <c r="M44" s="63" t="inlineStr"/>
      <c r="N44" s="62" t="inlineStr"/>
      <c r="O44" s="62" t="inlineStr"/>
      <c r="P44" s="61" t="inlineStr"/>
    </row>
    <row r="45" ht="32" customHeight="1">
      <c r="A45" s="59" t="inlineStr"/>
      <c r="B45" s="59" t="inlineStr"/>
      <c r="C45" s="60" t="inlineStr"/>
      <c r="D45" s="60" t="inlineStr"/>
      <c r="E45" s="60" t="inlineStr"/>
      <c r="F45" s="59" t="inlineStr"/>
      <c r="G45" s="60" t="inlineStr"/>
      <c r="H45" s="59" t="inlineStr"/>
      <c r="I45" s="60" t="inlineStr"/>
      <c r="J45" s="60" t="inlineStr"/>
      <c r="K45" s="59" t="inlineStr"/>
      <c r="L45" s="59" t="inlineStr"/>
      <c r="M45" s="60" t="inlineStr"/>
      <c r="N45" s="59" t="inlineStr"/>
      <c r="O45" s="59" t="inlineStr"/>
      <c r="P45" s="61" t="inlineStr"/>
    </row>
    <row r="46" ht="32" customHeight="1">
      <c r="A46" s="62" t="inlineStr"/>
      <c r="B46" s="62" t="inlineStr"/>
      <c r="C46" s="63" t="inlineStr"/>
      <c r="D46" s="63" t="inlineStr"/>
      <c r="E46" s="63" t="inlineStr"/>
      <c r="F46" s="62" t="inlineStr"/>
      <c r="G46" s="63" t="inlineStr"/>
      <c r="H46" s="62" t="inlineStr"/>
      <c r="I46" s="63" t="inlineStr"/>
      <c r="J46" s="63" t="inlineStr"/>
      <c r="K46" s="62" t="inlineStr"/>
      <c r="L46" s="62" t="inlineStr"/>
      <c r="M46" s="63" t="inlineStr"/>
      <c r="N46" s="62" t="inlineStr"/>
      <c r="O46" s="62" t="inlineStr"/>
      <c r="P46" s="61" t="inlineStr"/>
    </row>
    <row r="47" ht="32" customHeight="1">
      <c r="A47" s="59" t="inlineStr"/>
      <c r="B47" s="59" t="inlineStr"/>
      <c r="C47" s="60" t="inlineStr"/>
      <c r="D47" s="60" t="inlineStr"/>
      <c r="E47" s="60" t="inlineStr"/>
      <c r="F47" s="59" t="inlineStr"/>
      <c r="G47" s="60" t="inlineStr"/>
      <c r="H47" s="59" t="inlineStr"/>
      <c r="I47" s="60" t="inlineStr"/>
      <c r="J47" s="60" t="inlineStr"/>
      <c r="K47" s="59" t="inlineStr"/>
      <c r="L47" s="59" t="inlineStr"/>
      <c r="M47" s="60" t="inlineStr"/>
      <c r="N47" s="59" t="inlineStr"/>
      <c r="O47" s="59" t="inlineStr"/>
      <c r="P47" s="61" t="inlineStr"/>
    </row>
    <row r="48" ht="32" customHeight="1">
      <c r="A48" s="62" t="inlineStr"/>
      <c r="B48" s="62" t="inlineStr"/>
      <c r="C48" s="63" t="inlineStr"/>
      <c r="D48" s="63" t="inlineStr"/>
      <c r="E48" s="63" t="inlineStr"/>
      <c r="F48" s="62" t="inlineStr"/>
      <c r="G48" s="63" t="inlineStr"/>
      <c r="H48" s="62" t="inlineStr"/>
      <c r="I48" s="63" t="inlineStr"/>
      <c r="J48" s="63" t="inlineStr"/>
      <c r="K48" s="62" t="inlineStr"/>
      <c r="L48" s="62" t="inlineStr"/>
      <c r="M48" s="63" t="inlineStr"/>
      <c r="N48" s="62" t="inlineStr"/>
      <c r="O48" s="62" t="inlineStr"/>
      <c r="P48" s="61" t="inlineStr"/>
    </row>
    <row r="49" ht="32" customHeight="1">
      <c r="A49" s="59" t="inlineStr"/>
      <c r="B49" s="59" t="inlineStr"/>
      <c r="C49" s="60" t="inlineStr"/>
      <c r="D49" s="60" t="inlineStr"/>
      <c r="E49" s="60" t="inlineStr"/>
      <c r="F49" s="59" t="inlineStr"/>
      <c r="G49" s="60" t="inlineStr"/>
      <c r="H49" s="59" t="inlineStr"/>
      <c r="I49" s="60" t="inlineStr"/>
      <c r="J49" s="60" t="inlineStr"/>
      <c r="K49" s="59" t="inlineStr"/>
      <c r="L49" s="59" t="inlineStr"/>
      <c r="M49" s="60" t="inlineStr"/>
      <c r="N49" s="59" t="inlineStr"/>
      <c r="O49" s="59" t="inlineStr"/>
      <c r="P49" s="61" t="inlineStr"/>
    </row>
    <row r="50" ht="32" customHeight="1">
      <c r="A50" s="62" t="inlineStr"/>
      <c r="B50" s="62" t="inlineStr"/>
      <c r="C50" s="63" t="inlineStr"/>
      <c r="D50" s="63" t="inlineStr"/>
      <c r="E50" s="63" t="inlineStr"/>
      <c r="F50" s="62" t="inlineStr"/>
      <c r="G50" s="63" t="inlineStr"/>
      <c r="H50" s="62" t="inlineStr"/>
      <c r="I50" s="63" t="inlineStr"/>
      <c r="J50" s="63" t="inlineStr"/>
      <c r="K50" s="62" t="inlineStr"/>
      <c r="L50" s="62" t="inlineStr"/>
      <c r="M50" s="63" t="inlineStr"/>
      <c r="N50" s="62" t="inlineStr"/>
      <c r="O50" s="62" t="inlineStr"/>
      <c r="P50" s="61" t="inlineStr"/>
    </row>
    <row r="51" ht="32" customHeight="1">
      <c r="A51" s="59" t="inlineStr"/>
      <c r="B51" s="59" t="inlineStr"/>
      <c r="C51" s="60" t="inlineStr"/>
      <c r="D51" s="60" t="inlineStr"/>
      <c r="E51" s="60" t="inlineStr"/>
      <c r="F51" s="59" t="inlineStr"/>
      <c r="G51" s="60" t="inlineStr"/>
      <c r="H51" s="59" t="inlineStr"/>
      <c r="I51" s="60" t="inlineStr"/>
      <c r="J51" s="60" t="inlineStr"/>
      <c r="K51" s="59" t="inlineStr"/>
      <c r="L51" s="59" t="inlineStr"/>
      <c r="M51" s="60" t="inlineStr"/>
      <c r="N51" s="59" t="inlineStr"/>
      <c r="O51" s="59" t="inlineStr"/>
      <c r="P51" s="61" t="inlineStr"/>
    </row>
    <row r="52" ht="32" customHeight="1">
      <c r="A52" s="62" t="inlineStr"/>
      <c r="B52" s="62" t="inlineStr"/>
      <c r="C52" s="63" t="inlineStr"/>
      <c r="D52" s="63" t="inlineStr"/>
      <c r="E52" s="63" t="inlineStr"/>
      <c r="F52" s="62" t="inlineStr"/>
      <c r="G52" s="63" t="inlineStr"/>
      <c r="H52" s="62" t="inlineStr"/>
      <c r="I52" s="63" t="inlineStr"/>
      <c r="J52" s="63" t="inlineStr"/>
      <c r="K52" s="62" t="inlineStr"/>
      <c r="L52" s="62" t="inlineStr"/>
      <c r="M52" s="63" t="inlineStr"/>
      <c r="N52" s="62" t="inlineStr"/>
      <c r="O52" s="62" t="inlineStr"/>
      <c r="P52" s="61" t="inlineStr"/>
    </row>
    <row r="53" ht="32" customHeight="1">
      <c r="A53" s="59" t="inlineStr"/>
      <c r="B53" s="59" t="inlineStr"/>
      <c r="C53" s="60" t="inlineStr"/>
      <c r="D53" s="60" t="inlineStr"/>
      <c r="E53" s="60" t="inlineStr"/>
      <c r="F53" s="59" t="inlineStr"/>
      <c r="G53" s="60" t="inlineStr"/>
      <c r="H53" s="59" t="inlineStr"/>
      <c r="I53" s="60" t="inlineStr"/>
      <c r="J53" s="60" t="inlineStr"/>
      <c r="K53" s="59" t="inlineStr"/>
      <c r="L53" s="59" t="inlineStr"/>
      <c r="M53" s="60" t="inlineStr"/>
      <c r="N53" s="59" t="inlineStr"/>
      <c r="O53" s="59" t="inlineStr"/>
      <c r="P53" s="61" t="inlineStr"/>
    </row>
    <row r="54" ht="32" customHeight="1">
      <c r="A54" s="62" t="inlineStr"/>
      <c r="B54" s="62" t="inlineStr"/>
      <c r="C54" s="63" t="inlineStr"/>
      <c r="D54" s="63" t="inlineStr"/>
      <c r="E54" s="63" t="inlineStr"/>
      <c r="F54" s="62" t="inlineStr"/>
      <c r="G54" s="63" t="inlineStr"/>
      <c r="H54" s="62" t="inlineStr"/>
      <c r="I54" s="63" t="inlineStr"/>
      <c r="J54" s="63" t="inlineStr"/>
      <c r="K54" s="62" t="inlineStr"/>
      <c r="L54" s="62" t="inlineStr"/>
      <c r="M54" s="63" t="inlineStr"/>
      <c r="N54" s="62" t="inlineStr"/>
      <c r="O54" s="62" t="inlineStr"/>
      <c r="P54" s="61" t="inlineStr"/>
    </row>
    <row r="55" ht="32" customHeight="1">
      <c r="A55" s="59" t="inlineStr"/>
      <c r="B55" s="59" t="inlineStr"/>
      <c r="C55" s="60" t="inlineStr"/>
      <c r="D55" s="60" t="inlineStr"/>
      <c r="E55" s="60" t="inlineStr"/>
      <c r="F55" s="59" t="inlineStr"/>
      <c r="G55" s="60" t="inlineStr"/>
      <c r="H55" s="59" t="inlineStr"/>
      <c r="I55" s="60" t="inlineStr"/>
      <c r="J55" s="60" t="inlineStr"/>
      <c r="K55" s="59" t="inlineStr"/>
      <c r="L55" s="59" t="inlineStr"/>
      <c r="M55" s="60" t="inlineStr"/>
      <c r="N55" s="59" t="inlineStr"/>
      <c r="O55" s="59" t="inlineStr"/>
      <c r="P55" s="61" t="inlineStr"/>
    </row>
    <row r="56" ht="32" customHeight="1">
      <c r="A56" s="62" t="inlineStr"/>
      <c r="B56" s="62" t="inlineStr"/>
      <c r="C56" s="63" t="inlineStr"/>
      <c r="D56" s="63" t="inlineStr"/>
      <c r="E56" s="63" t="inlineStr"/>
      <c r="F56" s="62" t="inlineStr"/>
      <c r="G56" s="63" t="inlineStr"/>
      <c r="H56" s="62" t="inlineStr"/>
      <c r="I56" s="63" t="inlineStr"/>
      <c r="J56" s="63" t="inlineStr"/>
      <c r="K56" s="62" t="inlineStr"/>
      <c r="L56" s="62" t="inlineStr"/>
      <c r="M56" s="63" t="inlineStr"/>
      <c r="N56" s="62" t="inlineStr"/>
      <c r="O56" s="62" t="inlineStr"/>
      <c r="P56" s="61" t="inlineStr"/>
    </row>
    <row r="57" ht="32" customHeight="1">
      <c r="A57" s="59" t="inlineStr"/>
      <c r="B57" s="59" t="inlineStr"/>
      <c r="C57" s="60" t="inlineStr"/>
      <c r="D57" s="60" t="inlineStr"/>
      <c r="E57" s="60" t="inlineStr"/>
      <c r="F57" s="59" t="inlineStr"/>
      <c r="G57" s="60" t="inlineStr"/>
      <c r="H57" s="59" t="inlineStr"/>
      <c r="I57" s="60" t="inlineStr"/>
      <c r="J57" s="60" t="inlineStr"/>
      <c r="K57" s="59" t="inlineStr"/>
      <c r="L57" s="59" t="inlineStr"/>
      <c r="M57" s="60" t="inlineStr"/>
      <c r="N57" s="59" t="inlineStr"/>
      <c r="O57" s="59" t="inlineStr"/>
      <c r="P57" s="61" t="inlineStr"/>
    </row>
    <row r="58" ht="32" customHeight="1">
      <c r="A58" s="62" t="inlineStr"/>
      <c r="B58" s="62" t="inlineStr"/>
      <c r="C58" s="63" t="inlineStr"/>
      <c r="D58" s="63" t="inlineStr"/>
      <c r="E58" s="63" t="inlineStr"/>
      <c r="F58" s="62" t="inlineStr"/>
      <c r="G58" s="63" t="inlineStr"/>
      <c r="H58" s="62" t="inlineStr"/>
      <c r="I58" s="63" t="inlineStr"/>
      <c r="J58" s="63" t="inlineStr"/>
      <c r="K58" s="62" t="inlineStr"/>
      <c r="L58" s="62" t="inlineStr"/>
      <c r="M58" s="63" t="inlineStr"/>
      <c r="N58" s="62" t="inlineStr"/>
      <c r="O58" s="62" t="inlineStr"/>
      <c r="P58" s="61" t="inlineStr"/>
    </row>
    <row r="59" ht="32" customHeight="1">
      <c r="A59" s="59" t="inlineStr"/>
      <c r="B59" s="59" t="inlineStr"/>
      <c r="C59" s="60" t="inlineStr"/>
      <c r="D59" s="60" t="inlineStr"/>
      <c r="E59" s="60" t="inlineStr"/>
      <c r="F59" s="59" t="inlineStr"/>
      <c r="G59" s="60" t="inlineStr"/>
      <c r="H59" s="59" t="inlineStr"/>
      <c r="I59" s="60" t="inlineStr"/>
      <c r="J59" s="60" t="inlineStr"/>
      <c r="K59" s="59" t="inlineStr"/>
      <c r="L59" s="59" t="inlineStr"/>
      <c r="M59" s="60" t="inlineStr"/>
      <c r="N59" s="59" t="inlineStr"/>
      <c r="O59" s="59" t="inlineStr"/>
      <c r="P59" s="61" t="inlineStr"/>
    </row>
    <row r="60" ht="32" customHeight="1">
      <c r="A60" s="62" t="inlineStr"/>
      <c r="B60" s="62" t="inlineStr"/>
      <c r="C60" s="63" t="inlineStr"/>
      <c r="D60" s="63" t="inlineStr"/>
      <c r="E60" s="63" t="inlineStr"/>
      <c r="F60" s="62" t="inlineStr"/>
      <c r="G60" s="63" t="inlineStr"/>
      <c r="H60" s="62" t="inlineStr"/>
      <c r="I60" s="63" t="inlineStr"/>
      <c r="J60" s="63" t="inlineStr"/>
      <c r="K60" s="62" t="inlineStr"/>
      <c r="L60" s="62" t="inlineStr"/>
      <c r="M60" s="63" t="inlineStr"/>
      <c r="N60" s="62" t="inlineStr"/>
      <c r="O60" s="62" t="inlineStr"/>
      <c r="P60" s="61" t="inlineStr"/>
    </row>
    <row r="61" ht="32" customHeight="1">
      <c r="A61" s="59" t="inlineStr"/>
      <c r="B61" s="59" t="inlineStr"/>
      <c r="C61" s="60" t="inlineStr"/>
      <c r="D61" s="60" t="inlineStr"/>
      <c r="E61" s="60" t="inlineStr"/>
      <c r="F61" s="59" t="inlineStr"/>
      <c r="G61" s="60" t="inlineStr"/>
      <c r="H61" s="59" t="inlineStr"/>
      <c r="I61" s="60" t="inlineStr"/>
      <c r="J61" s="60" t="inlineStr"/>
      <c r="K61" s="59" t="inlineStr"/>
      <c r="L61" s="59" t="inlineStr"/>
      <c r="M61" s="60" t="inlineStr"/>
      <c r="N61" s="59" t="inlineStr"/>
      <c r="O61" s="59" t="inlineStr"/>
      <c r="P61" s="61" t="inlineStr"/>
    </row>
    <row r="62" ht="32" customHeight="1">
      <c r="A62" s="62" t="inlineStr"/>
      <c r="B62" s="62" t="inlineStr"/>
      <c r="C62" s="63" t="inlineStr"/>
      <c r="D62" s="63" t="inlineStr"/>
      <c r="E62" s="63" t="inlineStr"/>
      <c r="F62" s="62" t="inlineStr"/>
      <c r="G62" s="63" t="inlineStr"/>
      <c r="H62" s="62" t="inlineStr"/>
      <c r="I62" s="63" t="inlineStr"/>
      <c r="J62" s="63" t="inlineStr"/>
      <c r="K62" s="62" t="inlineStr"/>
      <c r="L62" s="62" t="inlineStr"/>
      <c r="M62" s="63" t="inlineStr"/>
      <c r="N62" s="62" t="inlineStr"/>
      <c r="O62" s="62" t="inlineStr"/>
      <c r="P62" s="61" t="inlineStr"/>
    </row>
    <row r="63" ht="32" customHeight="1">
      <c r="A63" s="59" t="inlineStr"/>
      <c r="B63" s="59" t="inlineStr"/>
      <c r="C63" s="60" t="inlineStr"/>
      <c r="D63" s="60" t="inlineStr"/>
      <c r="E63" s="60" t="inlineStr"/>
      <c r="F63" s="59" t="inlineStr"/>
      <c r="G63" s="60" t="inlineStr"/>
      <c r="H63" s="59" t="inlineStr"/>
      <c r="I63" s="60" t="inlineStr"/>
      <c r="J63" s="60" t="inlineStr"/>
      <c r="K63" s="59" t="inlineStr"/>
      <c r="L63" s="59" t="inlineStr"/>
      <c r="M63" s="60" t="inlineStr"/>
      <c r="N63" s="59" t="inlineStr"/>
      <c r="O63" s="59" t="inlineStr"/>
      <c r="P63" s="61" t="inlineStr"/>
    </row>
    <row r="64" ht="32" customHeight="1">
      <c r="A64" s="62" t="inlineStr"/>
      <c r="B64" s="62" t="inlineStr"/>
      <c r="C64" s="63" t="inlineStr"/>
      <c r="D64" s="63" t="inlineStr"/>
      <c r="E64" s="63" t="inlineStr"/>
      <c r="F64" s="62" t="inlineStr"/>
      <c r="G64" s="63" t="inlineStr"/>
      <c r="H64" s="62" t="inlineStr"/>
      <c r="I64" s="63" t="inlineStr"/>
      <c r="J64" s="63" t="inlineStr"/>
      <c r="K64" s="62" t="inlineStr"/>
      <c r="L64" s="62" t="inlineStr"/>
      <c r="M64" s="63" t="inlineStr"/>
      <c r="N64" s="62" t="inlineStr"/>
      <c r="O64" s="62" t="inlineStr"/>
      <c r="P64" s="61" t="inlineStr"/>
    </row>
    <row r="65" ht="32" customHeight="1">
      <c r="A65" s="59" t="inlineStr"/>
      <c r="B65" s="59" t="inlineStr"/>
      <c r="C65" s="60" t="inlineStr"/>
      <c r="D65" s="60" t="inlineStr"/>
      <c r="E65" s="60" t="inlineStr"/>
      <c r="F65" s="59" t="inlineStr"/>
      <c r="G65" s="60" t="inlineStr"/>
      <c r="H65" s="59" t="inlineStr"/>
      <c r="I65" s="60" t="inlineStr"/>
      <c r="J65" s="60" t="inlineStr"/>
      <c r="K65" s="59" t="inlineStr"/>
      <c r="L65" s="59" t="inlineStr"/>
      <c r="M65" s="60" t="inlineStr"/>
      <c r="N65" s="59" t="inlineStr"/>
      <c r="O65" s="59" t="inlineStr"/>
      <c r="P65" s="61" t="inlineStr"/>
    </row>
    <row r="66" ht="32" customHeight="1">
      <c r="A66" s="62" t="inlineStr"/>
      <c r="B66" s="62" t="inlineStr"/>
      <c r="C66" s="63" t="inlineStr"/>
      <c r="D66" s="63" t="inlineStr"/>
      <c r="E66" s="63" t="inlineStr"/>
      <c r="F66" s="62" t="inlineStr"/>
      <c r="G66" s="63" t="inlineStr"/>
      <c r="H66" s="62" t="inlineStr"/>
      <c r="I66" s="63" t="inlineStr"/>
      <c r="J66" s="63" t="inlineStr"/>
      <c r="K66" s="62" t="inlineStr"/>
      <c r="L66" s="62" t="inlineStr"/>
      <c r="M66" s="63" t="inlineStr"/>
      <c r="N66" s="62" t="inlineStr"/>
      <c r="O66" s="62" t="inlineStr"/>
      <c r="P66" s="61" t="inlineStr"/>
    </row>
    <row r="67" ht="32" customHeight="1">
      <c r="A67" s="59" t="inlineStr"/>
      <c r="B67" s="59" t="inlineStr"/>
      <c r="C67" s="60" t="inlineStr"/>
      <c r="D67" s="60" t="inlineStr"/>
      <c r="E67" s="60" t="inlineStr"/>
      <c r="F67" s="59" t="inlineStr"/>
      <c r="G67" s="60" t="inlineStr"/>
      <c r="H67" s="59" t="inlineStr"/>
      <c r="I67" s="60" t="inlineStr"/>
      <c r="J67" s="60" t="inlineStr"/>
      <c r="K67" s="59" t="inlineStr"/>
      <c r="L67" s="59" t="inlineStr"/>
      <c r="M67" s="60" t="inlineStr"/>
      <c r="N67" s="59" t="inlineStr"/>
      <c r="O67" s="59" t="inlineStr"/>
      <c r="P67" s="61" t="inlineStr"/>
    </row>
    <row r="68" ht="32" customHeight="1">
      <c r="A68" s="62" t="inlineStr"/>
      <c r="B68" s="62" t="inlineStr"/>
      <c r="C68" s="63" t="inlineStr"/>
      <c r="D68" s="63" t="inlineStr"/>
      <c r="E68" s="63" t="inlineStr"/>
      <c r="F68" s="62" t="inlineStr"/>
      <c r="G68" s="63" t="inlineStr"/>
      <c r="H68" s="62" t="inlineStr"/>
      <c r="I68" s="63" t="inlineStr"/>
      <c r="J68" s="63" t="inlineStr"/>
      <c r="K68" s="62" t="inlineStr"/>
      <c r="L68" s="62" t="inlineStr"/>
      <c r="M68" s="63" t="inlineStr"/>
      <c r="N68" s="62" t="inlineStr"/>
      <c r="O68" s="62" t="inlineStr"/>
      <c r="P68" s="61" t="inlineStr"/>
    </row>
    <row r="69" ht="32" customHeight="1">
      <c r="A69" s="59" t="inlineStr"/>
      <c r="B69" s="59" t="inlineStr"/>
      <c r="C69" s="60" t="inlineStr"/>
      <c r="D69" s="60" t="inlineStr"/>
      <c r="E69" s="60" t="inlineStr"/>
      <c r="F69" s="59" t="inlineStr"/>
      <c r="G69" s="60" t="inlineStr"/>
      <c r="H69" s="59" t="inlineStr"/>
      <c r="I69" s="60" t="inlineStr"/>
      <c r="J69" s="60" t="inlineStr"/>
      <c r="K69" s="59" t="inlineStr"/>
      <c r="L69" s="59" t="inlineStr"/>
      <c r="M69" s="60" t="inlineStr"/>
      <c r="N69" s="59" t="inlineStr"/>
      <c r="O69" s="59" t="inlineStr"/>
      <c r="P69" s="61" t="inlineStr"/>
    </row>
    <row r="70" ht="32" customHeight="1">
      <c r="A70" s="62" t="inlineStr"/>
      <c r="B70" s="62" t="inlineStr"/>
      <c r="C70" s="63" t="inlineStr"/>
      <c r="D70" s="63" t="inlineStr"/>
      <c r="E70" s="63" t="inlineStr"/>
      <c r="F70" s="62" t="inlineStr"/>
      <c r="G70" s="63" t="inlineStr"/>
      <c r="H70" s="62" t="inlineStr"/>
      <c r="I70" s="63" t="inlineStr"/>
      <c r="J70" s="63" t="inlineStr"/>
      <c r="K70" s="62" t="inlineStr"/>
      <c r="L70" s="62" t="inlineStr"/>
      <c r="M70" s="63" t="inlineStr"/>
      <c r="N70" s="62" t="inlineStr"/>
      <c r="O70" s="62" t="inlineStr"/>
      <c r="P70" s="61" t="inlineStr"/>
    </row>
    <row r="71" ht="32" customHeight="1">
      <c r="A71" s="59" t="inlineStr"/>
      <c r="B71" s="59" t="inlineStr"/>
      <c r="C71" s="60" t="inlineStr"/>
      <c r="D71" s="60" t="inlineStr"/>
      <c r="E71" s="60" t="inlineStr"/>
      <c r="F71" s="59" t="inlineStr"/>
      <c r="G71" s="60" t="inlineStr"/>
      <c r="H71" s="59" t="inlineStr"/>
      <c r="I71" s="60" t="inlineStr"/>
      <c r="J71" s="60" t="inlineStr"/>
      <c r="K71" s="59" t="inlineStr"/>
      <c r="L71" s="59" t="inlineStr"/>
      <c r="M71" s="60" t="inlineStr"/>
      <c r="N71" s="59" t="inlineStr"/>
      <c r="O71" s="59" t="inlineStr"/>
      <c r="P71" s="61" t="inlineStr"/>
    </row>
    <row r="72" ht="32" customHeight="1">
      <c r="A72" s="62" t="inlineStr"/>
      <c r="B72" s="62" t="inlineStr"/>
      <c r="C72" s="63" t="inlineStr"/>
      <c r="D72" s="63" t="inlineStr"/>
      <c r="E72" s="63" t="inlineStr"/>
      <c r="F72" s="62" t="inlineStr"/>
      <c r="G72" s="63" t="inlineStr"/>
      <c r="H72" s="62" t="inlineStr"/>
      <c r="I72" s="63" t="inlineStr"/>
      <c r="J72" s="63" t="inlineStr"/>
      <c r="K72" s="62" t="inlineStr"/>
      <c r="L72" s="62" t="inlineStr"/>
      <c r="M72" s="63" t="inlineStr"/>
      <c r="N72" s="62" t="inlineStr"/>
      <c r="O72" s="62" t="inlineStr"/>
      <c r="P72" s="61" t="inlineStr"/>
    </row>
    <row r="73" ht="32" customHeight="1">
      <c r="A73" s="59" t="inlineStr"/>
      <c r="B73" s="59" t="inlineStr"/>
      <c r="C73" s="60" t="inlineStr"/>
      <c r="D73" s="60" t="inlineStr"/>
      <c r="E73" s="60" t="inlineStr"/>
      <c r="F73" s="59" t="inlineStr"/>
      <c r="G73" s="60" t="inlineStr"/>
      <c r="H73" s="59" t="inlineStr"/>
      <c r="I73" s="60" t="inlineStr"/>
      <c r="J73" s="60" t="inlineStr"/>
      <c r="K73" s="59" t="inlineStr"/>
      <c r="L73" s="59" t="inlineStr"/>
      <c r="M73" s="60" t="inlineStr"/>
      <c r="N73" s="59" t="inlineStr"/>
      <c r="O73" s="59" t="inlineStr"/>
      <c r="P73" s="61" t="inlineStr"/>
    </row>
    <row r="74" ht="32" customHeight="1">
      <c r="A74" s="62" t="inlineStr"/>
      <c r="B74" s="62" t="inlineStr"/>
      <c r="C74" s="63" t="inlineStr"/>
      <c r="D74" s="63" t="inlineStr"/>
      <c r="E74" s="63" t="inlineStr"/>
      <c r="F74" s="62" t="inlineStr"/>
      <c r="G74" s="63" t="inlineStr"/>
      <c r="H74" s="62" t="inlineStr"/>
      <c r="I74" s="63" t="inlineStr"/>
      <c r="J74" s="63" t="inlineStr"/>
      <c r="K74" s="62" t="inlineStr"/>
      <c r="L74" s="62" t="inlineStr"/>
      <c r="M74" s="63" t="inlineStr"/>
      <c r="N74" s="62" t="inlineStr"/>
      <c r="O74" s="62" t="inlineStr"/>
      <c r="P74" s="61" t="inlineStr"/>
    </row>
    <row r="75" ht="32" customHeight="1">
      <c r="A75" s="59" t="inlineStr"/>
      <c r="B75" s="59" t="inlineStr"/>
      <c r="C75" s="60" t="inlineStr"/>
      <c r="D75" s="60" t="inlineStr"/>
      <c r="E75" s="60" t="inlineStr"/>
      <c r="F75" s="59" t="inlineStr"/>
      <c r="G75" s="60" t="inlineStr"/>
      <c r="H75" s="59" t="inlineStr"/>
      <c r="I75" s="60" t="inlineStr"/>
      <c r="J75" s="60" t="inlineStr"/>
      <c r="K75" s="59" t="inlineStr"/>
      <c r="L75" s="59" t="inlineStr"/>
      <c r="M75" s="60" t="inlineStr"/>
      <c r="N75" s="59" t="inlineStr"/>
      <c r="O75" s="59" t="inlineStr"/>
      <c r="P75" s="61" t="inlineStr"/>
    </row>
    <row r="76" ht="32" customHeight="1">
      <c r="A76" s="62" t="inlineStr"/>
      <c r="B76" s="62" t="inlineStr"/>
      <c r="C76" s="63" t="inlineStr"/>
      <c r="D76" s="63" t="inlineStr"/>
      <c r="E76" s="63" t="inlineStr"/>
      <c r="F76" s="62" t="inlineStr"/>
      <c r="G76" s="63" t="inlineStr"/>
      <c r="H76" s="62" t="inlineStr"/>
      <c r="I76" s="63" t="inlineStr"/>
      <c r="J76" s="63" t="inlineStr"/>
      <c r="K76" s="62" t="inlineStr"/>
      <c r="L76" s="62" t="inlineStr"/>
      <c r="M76" s="63" t="inlineStr"/>
      <c r="N76" s="62" t="inlineStr"/>
      <c r="O76" s="62" t="inlineStr"/>
      <c r="P76" s="61" t="inlineStr"/>
    </row>
    <row r="77" ht="32" customHeight="1">
      <c r="A77" s="59" t="inlineStr"/>
      <c r="B77" s="59" t="inlineStr"/>
      <c r="C77" s="60" t="inlineStr"/>
      <c r="D77" s="60" t="inlineStr"/>
      <c r="E77" s="60" t="inlineStr"/>
      <c r="F77" s="59" t="inlineStr"/>
      <c r="G77" s="60" t="inlineStr"/>
      <c r="H77" s="59" t="inlineStr"/>
      <c r="I77" s="60" t="inlineStr"/>
      <c r="J77" s="60" t="inlineStr"/>
      <c r="K77" s="59" t="inlineStr"/>
      <c r="L77" s="59" t="inlineStr"/>
      <c r="M77" s="60" t="inlineStr"/>
      <c r="N77" s="59" t="inlineStr"/>
      <c r="O77" s="59" t="inlineStr"/>
      <c r="P77" s="61" t="inlineStr"/>
    </row>
    <row r="78" ht="32" customHeight="1">
      <c r="A78" s="62" t="inlineStr"/>
      <c r="B78" s="62" t="inlineStr"/>
      <c r="C78" s="63" t="inlineStr"/>
      <c r="D78" s="63" t="inlineStr"/>
      <c r="E78" s="63" t="inlineStr"/>
      <c r="F78" s="62" t="inlineStr"/>
      <c r="G78" s="63" t="inlineStr"/>
      <c r="H78" s="62" t="inlineStr"/>
      <c r="I78" s="63" t="inlineStr"/>
      <c r="J78" s="63" t="inlineStr"/>
      <c r="K78" s="62" t="inlineStr"/>
      <c r="L78" s="62" t="inlineStr"/>
      <c r="M78" s="63" t="inlineStr"/>
      <c r="N78" s="62" t="inlineStr"/>
      <c r="O78" s="62" t="inlineStr"/>
      <c r="P78" s="61" t="inlineStr"/>
    </row>
    <row r="79" ht="32" customHeight="1">
      <c r="A79" s="59" t="inlineStr"/>
      <c r="B79" s="59" t="inlineStr"/>
      <c r="C79" s="60" t="inlineStr"/>
      <c r="D79" s="60" t="inlineStr"/>
      <c r="E79" s="60" t="inlineStr"/>
      <c r="F79" s="59" t="inlineStr"/>
      <c r="G79" s="60" t="inlineStr"/>
      <c r="H79" s="59" t="inlineStr"/>
      <c r="I79" s="60" t="inlineStr"/>
      <c r="J79" s="60" t="inlineStr"/>
      <c r="K79" s="59" t="inlineStr"/>
      <c r="L79" s="59" t="inlineStr"/>
      <c r="M79" s="60" t="inlineStr"/>
      <c r="N79" s="59" t="inlineStr"/>
      <c r="O79" s="59" t="inlineStr"/>
      <c r="P79" s="61" t="inlineStr"/>
    </row>
    <row r="80" ht="32" customHeight="1">
      <c r="A80" s="62" t="inlineStr"/>
      <c r="B80" s="62" t="inlineStr"/>
      <c r="C80" s="63" t="inlineStr"/>
      <c r="D80" s="63" t="inlineStr"/>
      <c r="E80" s="63" t="inlineStr"/>
      <c r="F80" s="62" t="inlineStr"/>
      <c r="G80" s="63" t="inlineStr"/>
      <c r="H80" s="62" t="inlineStr"/>
      <c r="I80" s="63" t="inlineStr"/>
      <c r="J80" s="63" t="inlineStr"/>
      <c r="K80" s="62" t="inlineStr"/>
      <c r="L80" s="62" t="inlineStr"/>
      <c r="M80" s="63" t="inlineStr"/>
      <c r="N80" s="62" t="inlineStr"/>
      <c r="O80" s="62" t="inlineStr"/>
      <c r="P80" s="61" t="inlineStr"/>
    </row>
    <row r="81" ht="32" customHeight="1">
      <c r="A81" s="59" t="inlineStr"/>
      <c r="B81" s="59" t="inlineStr"/>
      <c r="C81" s="60" t="inlineStr"/>
      <c r="D81" s="60" t="inlineStr"/>
      <c r="E81" s="60" t="inlineStr"/>
      <c r="F81" s="59" t="inlineStr"/>
      <c r="G81" s="60" t="inlineStr"/>
      <c r="H81" s="59" t="inlineStr"/>
      <c r="I81" s="60" t="inlineStr"/>
      <c r="J81" s="60" t="inlineStr"/>
      <c r="K81" s="59" t="inlineStr"/>
      <c r="L81" s="59" t="inlineStr"/>
      <c r="M81" s="60" t="inlineStr"/>
      <c r="N81" s="59" t="inlineStr"/>
      <c r="O81" s="59" t="inlineStr"/>
      <c r="P81" s="61" t="inlineStr"/>
    </row>
    <row r="82" ht="32" customHeight="1">
      <c r="A82" s="62" t="inlineStr"/>
      <c r="B82" s="62" t="inlineStr"/>
      <c r="C82" s="63" t="inlineStr"/>
      <c r="D82" s="63" t="inlineStr"/>
      <c r="E82" s="63" t="inlineStr"/>
      <c r="F82" s="62" t="inlineStr"/>
      <c r="G82" s="63" t="inlineStr"/>
      <c r="H82" s="62" t="inlineStr"/>
      <c r="I82" s="63" t="inlineStr"/>
      <c r="J82" s="63" t="inlineStr"/>
      <c r="K82" s="62" t="inlineStr"/>
      <c r="L82" s="62" t="inlineStr"/>
      <c r="M82" s="63" t="inlineStr"/>
      <c r="N82" s="62" t="inlineStr"/>
      <c r="O82" s="62" t="inlineStr"/>
      <c r="P82" s="61" t="inlineStr"/>
    </row>
    <row r="83" ht="32" customHeight="1">
      <c r="A83" s="59" t="inlineStr"/>
      <c r="B83" s="59" t="inlineStr"/>
      <c r="C83" s="60" t="inlineStr"/>
      <c r="D83" s="60" t="inlineStr"/>
      <c r="E83" s="60" t="inlineStr"/>
      <c r="F83" s="59" t="inlineStr"/>
      <c r="G83" s="60" t="inlineStr"/>
      <c r="H83" s="59" t="inlineStr"/>
      <c r="I83" s="60" t="inlineStr"/>
      <c r="J83" s="60" t="inlineStr"/>
      <c r="K83" s="59" t="inlineStr"/>
      <c r="L83" s="59" t="inlineStr"/>
      <c r="M83" s="60" t="inlineStr"/>
      <c r="N83" s="59" t="inlineStr"/>
      <c r="O83" s="59" t="inlineStr"/>
      <c r="P83" s="61" t="inlineStr"/>
    </row>
    <row r="84" ht="32" customHeight="1">
      <c r="A84" s="62" t="inlineStr"/>
      <c r="B84" s="62" t="inlineStr"/>
      <c r="C84" s="63" t="inlineStr"/>
      <c r="D84" s="63" t="inlineStr"/>
      <c r="E84" s="63" t="inlineStr"/>
      <c r="F84" s="62" t="inlineStr"/>
      <c r="G84" s="63" t="inlineStr"/>
      <c r="H84" s="62" t="inlineStr"/>
      <c r="I84" s="63" t="inlineStr"/>
      <c r="J84" s="63" t="inlineStr"/>
      <c r="K84" s="62" t="inlineStr"/>
      <c r="L84" s="62" t="inlineStr"/>
      <c r="M84" s="63" t="inlineStr"/>
      <c r="N84" s="62" t="inlineStr"/>
      <c r="O84" s="62" t="inlineStr"/>
      <c r="P84" s="61" t="inlineStr"/>
    </row>
    <row r="85" ht="32" customHeight="1">
      <c r="A85" s="59" t="inlineStr"/>
      <c r="B85" s="59" t="inlineStr"/>
      <c r="C85" s="60" t="inlineStr"/>
      <c r="D85" s="60" t="inlineStr"/>
      <c r="E85" s="60" t="inlineStr"/>
      <c r="F85" s="59" t="inlineStr"/>
      <c r="G85" s="60" t="inlineStr"/>
      <c r="H85" s="59" t="inlineStr"/>
      <c r="I85" s="60" t="inlineStr"/>
      <c r="J85" s="60" t="inlineStr"/>
      <c r="K85" s="59" t="inlineStr"/>
      <c r="L85" s="59" t="inlineStr"/>
      <c r="M85" s="60" t="inlineStr"/>
      <c r="N85" s="59" t="inlineStr"/>
      <c r="O85" s="59" t="inlineStr"/>
      <c r="P85" s="61" t="inlineStr"/>
    </row>
    <row r="86" ht="32" customHeight="1">
      <c r="A86" s="62" t="inlineStr"/>
      <c r="B86" s="62" t="inlineStr"/>
      <c r="C86" s="63" t="inlineStr"/>
      <c r="D86" s="63" t="inlineStr"/>
      <c r="E86" s="63" t="inlineStr"/>
      <c r="F86" s="62" t="inlineStr"/>
      <c r="G86" s="63" t="inlineStr"/>
      <c r="H86" s="62" t="inlineStr"/>
      <c r="I86" s="63" t="inlineStr"/>
      <c r="J86" s="63" t="inlineStr"/>
      <c r="K86" s="62" t="inlineStr"/>
      <c r="L86" s="62" t="inlineStr"/>
      <c r="M86" s="63" t="inlineStr"/>
      <c r="N86" s="62" t="inlineStr"/>
      <c r="O86" s="62" t="inlineStr"/>
      <c r="P86" s="61" t="inlineStr"/>
    </row>
    <row r="87" ht="32" customHeight="1">
      <c r="A87" s="59" t="inlineStr"/>
      <c r="B87" s="59" t="inlineStr"/>
      <c r="C87" s="60" t="inlineStr"/>
      <c r="D87" s="60" t="inlineStr"/>
      <c r="E87" s="60" t="inlineStr"/>
      <c r="F87" s="59" t="inlineStr"/>
      <c r="G87" s="60" t="inlineStr"/>
      <c r="H87" s="59" t="inlineStr"/>
      <c r="I87" s="60" t="inlineStr"/>
      <c r="J87" s="60" t="inlineStr"/>
      <c r="K87" s="59" t="inlineStr"/>
      <c r="L87" s="59" t="inlineStr"/>
      <c r="M87" s="60" t="inlineStr"/>
      <c r="N87" s="59" t="inlineStr"/>
      <c r="O87" s="59" t="inlineStr"/>
      <c r="P87" s="61" t="inlineStr"/>
    </row>
    <row r="88" ht="32" customHeight="1">
      <c r="A88" s="62" t="inlineStr"/>
      <c r="B88" s="62" t="inlineStr"/>
      <c r="C88" s="63" t="inlineStr"/>
      <c r="D88" s="63" t="inlineStr"/>
      <c r="E88" s="63" t="inlineStr"/>
      <c r="F88" s="62" t="inlineStr"/>
      <c r="G88" s="63" t="inlineStr"/>
      <c r="H88" s="62" t="inlineStr"/>
      <c r="I88" s="63" t="inlineStr"/>
      <c r="J88" s="63" t="inlineStr"/>
      <c r="K88" s="62" t="inlineStr"/>
      <c r="L88" s="62" t="inlineStr"/>
      <c r="M88" s="63" t="inlineStr"/>
      <c r="N88" s="62" t="inlineStr"/>
      <c r="O88" s="62" t="inlineStr"/>
      <c r="P88" s="61" t="inlineStr"/>
    </row>
    <row r="89" ht="32" customHeight="1">
      <c r="A89" s="59" t="inlineStr"/>
      <c r="B89" s="59" t="inlineStr"/>
      <c r="C89" s="60" t="inlineStr"/>
      <c r="D89" s="60" t="inlineStr"/>
      <c r="E89" s="60" t="inlineStr"/>
      <c r="F89" s="59" t="inlineStr"/>
      <c r="G89" s="60" t="inlineStr"/>
      <c r="H89" s="59" t="inlineStr"/>
      <c r="I89" s="60" t="inlineStr"/>
      <c r="J89" s="60" t="inlineStr"/>
      <c r="K89" s="59" t="inlineStr"/>
      <c r="L89" s="59" t="inlineStr"/>
      <c r="M89" s="60" t="inlineStr"/>
      <c r="N89" s="59" t="inlineStr"/>
      <c r="O89" s="59" t="inlineStr"/>
      <c r="P89" s="61" t="inlineStr"/>
    </row>
    <row r="90" ht="32" customHeight="1">
      <c r="A90" s="62" t="inlineStr"/>
      <c r="B90" s="62" t="inlineStr"/>
      <c r="C90" s="63" t="inlineStr"/>
      <c r="D90" s="63" t="inlineStr"/>
      <c r="E90" s="63" t="inlineStr"/>
      <c r="F90" s="62" t="inlineStr"/>
      <c r="G90" s="63" t="inlineStr"/>
      <c r="H90" s="62" t="inlineStr"/>
      <c r="I90" s="63" t="inlineStr"/>
      <c r="J90" s="63" t="inlineStr"/>
      <c r="K90" s="62" t="inlineStr"/>
      <c r="L90" s="62" t="inlineStr"/>
      <c r="M90" s="63" t="inlineStr"/>
      <c r="N90" s="62" t="inlineStr"/>
      <c r="O90" s="62" t="inlineStr"/>
      <c r="P90" s="61" t="inlineStr"/>
    </row>
    <row r="91" ht="32" customHeight="1">
      <c r="A91" s="59" t="inlineStr"/>
      <c r="B91" s="59" t="inlineStr"/>
      <c r="C91" s="60" t="inlineStr"/>
      <c r="D91" s="60" t="inlineStr"/>
      <c r="E91" s="60" t="inlineStr"/>
      <c r="F91" s="59" t="inlineStr"/>
      <c r="G91" s="60" t="inlineStr"/>
      <c r="H91" s="59" t="inlineStr"/>
      <c r="I91" s="60" t="inlineStr"/>
      <c r="J91" s="60" t="inlineStr"/>
      <c r="K91" s="59" t="inlineStr"/>
      <c r="L91" s="59" t="inlineStr"/>
      <c r="M91" s="60" t="inlineStr"/>
      <c r="N91" s="59" t="inlineStr"/>
      <c r="O91" s="59" t="inlineStr"/>
      <c r="P91" s="61" t="inlineStr"/>
    </row>
    <row r="92" ht="32" customHeight="1">
      <c r="A92" s="62" t="inlineStr"/>
      <c r="B92" s="62" t="inlineStr"/>
      <c r="C92" s="63" t="inlineStr"/>
      <c r="D92" s="63" t="inlineStr"/>
      <c r="E92" s="63" t="inlineStr"/>
      <c r="F92" s="62" t="inlineStr"/>
      <c r="G92" s="63" t="inlineStr"/>
      <c r="H92" s="62" t="inlineStr"/>
      <c r="I92" s="63" t="inlineStr"/>
      <c r="J92" s="63" t="inlineStr"/>
      <c r="K92" s="62" t="inlineStr"/>
      <c r="L92" s="62" t="inlineStr"/>
      <c r="M92" s="63" t="inlineStr"/>
      <c r="N92" s="62" t="inlineStr"/>
      <c r="O92" s="62" t="inlineStr"/>
      <c r="P92" s="61" t="inlineStr"/>
    </row>
    <row r="93" ht="32" customHeight="1">
      <c r="A93" s="59" t="inlineStr"/>
      <c r="B93" s="59" t="inlineStr"/>
      <c r="C93" s="60" t="inlineStr"/>
      <c r="D93" s="60" t="inlineStr"/>
      <c r="E93" s="60" t="inlineStr"/>
      <c r="F93" s="59" t="inlineStr"/>
      <c r="G93" s="60" t="inlineStr"/>
      <c r="H93" s="59" t="inlineStr"/>
      <c r="I93" s="60" t="inlineStr"/>
      <c r="J93" s="60" t="inlineStr"/>
      <c r="K93" s="59" t="inlineStr"/>
      <c r="L93" s="59" t="inlineStr"/>
      <c r="M93" s="60" t="inlineStr"/>
      <c r="N93" s="59" t="inlineStr"/>
      <c r="O93" s="59" t="inlineStr"/>
      <c r="P93" s="61" t="inlineStr"/>
    </row>
    <row r="94" ht="32" customHeight="1">
      <c r="A94" s="62" t="inlineStr"/>
      <c r="B94" s="62" t="inlineStr"/>
      <c r="C94" s="63" t="inlineStr"/>
      <c r="D94" s="63" t="inlineStr"/>
      <c r="E94" s="63" t="inlineStr"/>
      <c r="F94" s="62" t="inlineStr"/>
      <c r="G94" s="63" t="inlineStr"/>
      <c r="H94" s="62" t="inlineStr"/>
      <c r="I94" s="63" t="inlineStr"/>
      <c r="J94" s="63" t="inlineStr"/>
      <c r="K94" s="62" t="inlineStr"/>
      <c r="L94" s="62" t="inlineStr"/>
      <c r="M94" s="63" t="inlineStr"/>
      <c r="N94" s="62" t="inlineStr"/>
      <c r="O94" s="62" t="inlineStr"/>
      <c r="P94" s="61" t="inlineStr"/>
    </row>
    <row r="95" ht="32" customHeight="1">
      <c r="A95" s="59" t="inlineStr"/>
      <c r="B95" s="59" t="inlineStr"/>
      <c r="C95" s="60" t="inlineStr"/>
      <c r="D95" s="60" t="inlineStr"/>
      <c r="E95" s="60" t="inlineStr"/>
      <c r="F95" s="59" t="inlineStr"/>
      <c r="G95" s="60" t="inlineStr"/>
      <c r="H95" s="59" t="inlineStr"/>
      <c r="I95" s="60" t="inlineStr"/>
      <c r="J95" s="60" t="inlineStr"/>
      <c r="K95" s="59" t="inlineStr"/>
      <c r="L95" s="59" t="inlineStr"/>
      <c r="M95" s="60" t="inlineStr"/>
      <c r="N95" s="59" t="inlineStr"/>
      <c r="O95" s="59" t="inlineStr"/>
      <c r="P95" s="61" t="inlineStr"/>
    </row>
    <row r="96" ht="32" customHeight="1">
      <c r="A96" s="62" t="inlineStr"/>
      <c r="B96" s="62" t="inlineStr"/>
      <c r="C96" s="63" t="inlineStr"/>
      <c r="D96" s="63" t="inlineStr"/>
      <c r="E96" s="63" t="inlineStr"/>
      <c r="F96" s="62" t="inlineStr"/>
      <c r="G96" s="63" t="inlineStr"/>
      <c r="H96" s="62" t="inlineStr"/>
      <c r="I96" s="63" t="inlineStr"/>
      <c r="J96" s="63" t="inlineStr"/>
      <c r="K96" s="62" t="inlineStr"/>
      <c r="L96" s="62" t="inlineStr"/>
      <c r="M96" s="63" t="inlineStr"/>
      <c r="N96" s="62" t="inlineStr"/>
      <c r="O96" s="62" t="inlineStr"/>
      <c r="P96" s="61" t="inlineStr"/>
    </row>
    <row r="97" ht="32" customHeight="1">
      <c r="A97" s="59" t="inlineStr"/>
      <c r="B97" s="59" t="inlineStr"/>
      <c r="C97" s="60" t="inlineStr"/>
      <c r="D97" s="60" t="inlineStr"/>
      <c r="E97" s="60" t="inlineStr"/>
      <c r="F97" s="59" t="inlineStr"/>
      <c r="G97" s="60" t="inlineStr"/>
      <c r="H97" s="59" t="inlineStr"/>
      <c r="I97" s="60" t="inlineStr"/>
      <c r="J97" s="60" t="inlineStr"/>
      <c r="K97" s="59" t="inlineStr"/>
      <c r="L97" s="59" t="inlineStr"/>
      <c r="M97" s="60" t="inlineStr"/>
      <c r="N97" s="59" t="inlineStr"/>
      <c r="O97" s="59" t="inlineStr"/>
      <c r="P97" s="61" t="inlineStr"/>
    </row>
    <row r="98" ht="32" customHeight="1">
      <c r="A98" s="62" t="inlineStr"/>
      <c r="B98" s="62" t="inlineStr"/>
      <c r="C98" s="63" t="inlineStr"/>
      <c r="D98" s="63" t="inlineStr"/>
      <c r="E98" s="63" t="inlineStr"/>
      <c r="F98" s="62" t="inlineStr"/>
      <c r="G98" s="63" t="inlineStr"/>
      <c r="H98" s="62" t="inlineStr"/>
      <c r="I98" s="63" t="inlineStr"/>
      <c r="J98" s="63" t="inlineStr"/>
      <c r="K98" s="62" t="inlineStr"/>
      <c r="L98" s="62" t="inlineStr"/>
      <c r="M98" s="63" t="inlineStr"/>
      <c r="N98" s="62" t="inlineStr"/>
      <c r="O98" s="62" t="inlineStr"/>
      <c r="P98" s="61" t="inlineStr"/>
    </row>
    <row r="99" ht="32" customHeight="1">
      <c r="A99" s="59" t="inlineStr"/>
      <c r="B99" s="59" t="inlineStr"/>
      <c r="C99" s="60" t="inlineStr"/>
      <c r="D99" s="60" t="inlineStr"/>
      <c r="E99" s="60" t="inlineStr"/>
      <c r="F99" s="59" t="inlineStr"/>
      <c r="G99" s="60" t="inlineStr"/>
      <c r="H99" s="59" t="inlineStr"/>
      <c r="I99" s="60" t="inlineStr"/>
      <c r="J99" s="60" t="inlineStr"/>
      <c r="K99" s="59" t="inlineStr"/>
      <c r="L99" s="59" t="inlineStr"/>
      <c r="M99" s="60" t="inlineStr"/>
      <c r="N99" s="59" t="inlineStr"/>
      <c r="O99" s="59" t="inlineStr"/>
      <c r="P99" s="61" t="inlineStr"/>
    </row>
    <row r="100" ht="32" customHeight="1">
      <c r="A100" s="62" t="inlineStr"/>
      <c r="B100" s="62" t="inlineStr"/>
      <c r="C100" s="63" t="inlineStr"/>
      <c r="D100" s="63" t="inlineStr"/>
      <c r="E100" s="63" t="inlineStr"/>
      <c r="F100" s="62" t="inlineStr"/>
      <c r="G100" s="63" t="inlineStr"/>
      <c r="H100" s="62" t="inlineStr"/>
      <c r="I100" s="63" t="inlineStr"/>
      <c r="J100" s="63" t="inlineStr"/>
      <c r="K100" s="62" t="inlineStr"/>
      <c r="L100" s="62" t="inlineStr"/>
      <c r="M100" s="63" t="inlineStr"/>
      <c r="N100" s="62" t="inlineStr"/>
      <c r="O100" s="62" t="inlineStr"/>
      <c r="P100" s="61" t="inlineStr"/>
    </row>
    <row r="101" ht="32" customHeight="1">
      <c r="A101" s="59" t="inlineStr"/>
      <c r="B101" s="59" t="inlineStr"/>
      <c r="C101" s="60" t="inlineStr"/>
      <c r="D101" s="60" t="inlineStr"/>
      <c r="E101" s="60" t="inlineStr"/>
      <c r="F101" s="59" t="inlineStr"/>
      <c r="G101" s="60" t="inlineStr"/>
      <c r="H101" s="59" t="inlineStr"/>
      <c r="I101" s="60" t="inlineStr"/>
      <c r="J101" s="60" t="inlineStr"/>
      <c r="K101" s="59" t="inlineStr"/>
      <c r="L101" s="59" t="inlineStr"/>
      <c r="M101" s="60" t="inlineStr"/>
      <c r="N101" s="59" t="inlineStr"/>
      <c r="O101" s="59" t="inlineStr"/>
      <c r="P101" s="61" t="inlineStr"/>
    </row>
    <row r="102" ht="32" customHeight="1">
      <c r="A102" s="62" t="inlineStr"/>
      <c r="B102" s="62" t="inlineStr"/>
      <c r="C102" s="63" t="inlineStr"/>
      <c r="D102" s="63" t="inlineStr"/>
      <c r="E102" s="63" t="inlineStr"/>
      <c r="F102" s="62" t="inlineStr"/>
      <c r="G102" s="63" t="inlineStr"/>
      <c r="H102" s="62" t="inlineStr"/>
      <c r="I102" s="63" t="inlineStr"/>
      <c r="J102" s="63" t="inlineStr"/>
      <c r="K102" s="62" t="inlineStr"/>
      <c r="L102" s="62" t="inlineStr"/>
      <c r="M102" s="63" t="inlineStr"/>
      <c r="N102" s="62" t="inlineStr"/>
      <c r="O102" s="62" t="inlineStr"/>
      <c r="P102" s="61" t="inlineStr"/>
    </row>
    <row r="103" ht="32" customHeight="1">
      <c r="A103" s="59" t="inlineStr"/>
      <c r="B103" s="59" t="inlineStr"/>
      <c r="C103" s="60" t="inlineStr"/>
      <c r="D103" s="60" t="inlineStr"/>
      <c r="E103" s="60" t="inlineStr"/>
      <c r="F103" s="59" t="inlineStr"/>
      <c r="G103" s="60" t="inlineStr"/>
      <c r="H103" s="59" t="inlineStr"/>
      <c r="I103" s="60" t="inlineStr"/>
      <c r="J103" s="60" t="inlineStr"/>
      <c r="K103" s="59" t="inlineStr"/>
      <c r="L103" s="59" t="inlineStr"/>
      <c r="M103" s="60" t="inlineStr"/>
      <c r="N103" s="59" t="inlineStr"/>
      <c r="O103" s="59" t="inlineStr"/>
      <c r="P103" s="61" t="inlineStr"/>
    </row>
    <row r="104" ht="32" customHeight="1">
      <c r="A104" s="62" t="inlineStr"/>
      <c r="B104" s="62" t="inlineStr"/>
      <c r="C104" s="63" t="inlineStr"/>
      <c r="D104" s="63" t="inlineStr"/>
      <c r="E104" s="63" t="inlineStr"/>
      <c r="F104" s="62" t="inlineStr"/>
      <c r="G104" s="63" t="inlineStr"/>
      <c r="H104" s="62" t="inlineStr"/>
      <c r="I104" s="63" t="inlineStr"/>
      <c r="J104" s="63" t="inlineStr"/>
      <c r="K104" s="62" t="inlineStr"/>
      <c r="L104" s="62" t="inlineStr"/>
      <c r="M104" s="63" t="inlineStr"/>
      <c r="N104" s="62" t="inlineStr"/>
      <c r="O104" s="62" t="inlineStr"/>
      <c r="P104" s="61" t="inlineStr"/>
    </row>
  </sheetData>
  <mergeCells count="2">
    <mergeCell ref="A1:P1"/>
    <mergeCell ref="A2:P2"/>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"Client Meeting,Consultant Meeting,Contractor Meeting,Site Visit,Subcontractor/Vendor Meeting,Internal Coordination,Follow-up Meeting,Agent/Referral Meeting"</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type="list">
      <formula1>"Daily Meeting,Existing Relationship,Consultant Referral,Agent Referral,Cold Outreach,Repeat Business"</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"Planning,Tender,Award Stage,Execution Stage,Expansion/Upgrade"</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showDropDown="0" showInputMessage="0" showErrorMessage="0" allowBlank="1" type="list">
      <formula1>"Yes,No"</formula1>
    </dataValidation>
    <dataValidation sqref="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showDropDown="0" showInputMessage="0" showErrorMessage="0" allowBlank="1" type="list">
      <formula1>"✔ Productive,✘ Non-Productive,⚠ Needs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4"/>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28" customWidth="1" min="3" max="3"/>
    <col width="22" customWidth="1" min="4" max="4"/>
    <col width="16" customWidth="1" min="5" max="5"/>
    <col width="14" customWidth="1" min="6" max="6"/>
    <col width="22"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 width="14" customWidth="1" min="17" max="17"/>
    <col width="22" customWidth="1" min="18" max="18"/>
  </cols>
  <sheetData>
    <row r="1" ht="30" customHeight="1">
      <c r="A1" s="58" t="inlineStr">
        <is>
          <t>INQUIRY &amp; PROPOSAL TRACKER — [Salesperson Name]</t>
        </is>
      </c>
    </row>
    <row r="2" ht="16" customHeight="1">
      <c r="A2" s="2" t="inlineStr">
        <is>
          <t>TWO TRACKS: In-House (Estimation Team) | Subcontractor (get 3-4 quotes, add 25% margin)  ·  Link every inquiry back to the Activity ID</t>
        </is>
      </c>
    </row>
    <row r="3" ht="6" customHeight="1"/>
    <row r="4" ht="40" customHeight="1">
      <c r="A4" s="7" t="inlineStr">
        <is>
          <t>Inquiry ID</t>
        </is>
      </c>
      <c r="B4" s="7" t="inlineStr">
        <is>
          <t>Date Received</t>
        </is>
      </c>
      <c r="C4" s="7" t="inlineStr">
        <is>
          <t>Project Name</t>
        </is>
      </c>
      <c r="D4" s="7" t="inlineStr">
        <is>
          <t>Client / End User</t>
        </is>
      </c>
      <c r="E4" s="7" t="inlineStr">
        <is>
          <t>Inquiry Source</t>
        </is>
      </c>
      <c r="F4" s="7" t="inlineStr">
        <is>
          <t>Activity ID
(from Daily Log)</t>
        </is>
      </c>
      <c r="G4" s="7" t="inlineStr">
        <is>
          <t>ELV Scope Summary</t>
        </is>
      </c>
      <c r="H4" s="7" t="inlineStr">
        <is>
          <t>Est. Value (AED)</t>
        </is>
      </c>
      <c r="I4" s="7" t="inlineStr">
        <is>
          <t>Proposal Track</t>
        </is>
      </c>
      <c r="J4" s="7" t="inlineStr">
        <is>
          <t>Sent to Estimation?
(In-house)</t>
        </is>
      </c>
      <c r="K4" s="7" t="inlineStr">
        <is>
          <t>Estimation
Return Date</t>
        </is>
      </c>
      <c r="L4" s="7" t="inlineStr">
        <is>
          <t>Sub Quote Log ID
(Subcontract)</t>
        </is>
      </c>
      <c r="M4" s="7" t="inlineStr">
        <is>
          <t>Subcontract
Margin Applied</t>
        </is>
      </c>
      <c r="N4" s="7" t="inlineStr">
        <is>
          <t>Proposal Value
(AED)</t>
        </is>
      </c>
      <c r="O4" s="7" t="inlineStr">
        <is>
          <t>Submission Date</t>
        </is>
      </c>
      <c r="P4" s="7" t="inlineStr">
        <is>
          <t>Proposal Status</t>
        </is>
      </c>
      <c r="Q4" s="7" t="inlineStr">
        <is>
          <t>Expected Decision</t>
        </is>
      </c>
      <c r="R4" s="7" t="inlineStr">
        <is>
          <t>Next Action</t>
        </is>
      </c>
    </row>
    <row r="5" ht="32" customHeight="1">
      <c r="A5" s="37">
        <f>IFERROR(IF(C5&lt;&gt;"","INQ-"&amp;TEXT(ROW()-4,"000"),""),"")</f>
        <v/>
      </c>
      <c r="B5" s="59" t="inlineStr"/>
      <c r="C5" s="60" t="inlineStr"/>
      <c r="D5" s="60" t="inlineStr"/>
      <c r="E5" s="59" t="inlineStr"/>
      <c r="F5" s="59" t="inlineStr"/>
      <c r="G5" s="60" t="inlineStr"/>
      <c r="H5" s="64" t="inlineStr"/>
      <c r="I5" s="59" t="inlineStr"/>
      <c r="J5" s="59" t="inlineStr"/>
      <c r="K5" s="59" t="inlineStr"/>
      <c r="L5" s="59" t="inlineStr"/>
      <c r="M5" s="65" t="inlineStr">
        <is>
          <t>25%</t>
        </is>
      </c>
      <c r="N5" s="64" t="inlineStr"/>
      <c r="O5" s="59" t="inlineStr"/>
      <c r="P5" s="60" t="inlineStr"/>
      <c r="Q5" s="59" t="inlineStr"/>
      <c r="R5" s="60" t="inlineStr"/>
    </row>
    <row r="6" ht="32" customHeight="1">
      <c r="A6" s="37">
        <f>IFERROR(IF(C6&lt;&gt;"","INQ-"&amp;TEXT(ROW()-4,"000"),""),"")</f>
        <v/>
      </c>
      <c r="B6" s="62" t="inlineStr"/>
      <c r="C6" s="63" t="inlineStr"/>
      <c r="D6" s="63" t="inlineStr"/>
      <c r="E6" s="62" t="inlineStr"/>
      <c r="F6" s="62" t="inlineStr"/>
      <c r="G6" s="63" t="inlineStr"/>
      <c r="H6" s="66" t="inlineStr"/>
      <c r="I6" s="62" t="inlineStr"/>
      <c r="J6" s="62" t="inlineStr"/>
      <c r="K6" s="62" t="inlineStr"/>
      <c r="L6" s="62" t="inlineStr"/>
      <c r="M6" s="65" t="inlineStr">
        <is>
          <t>25%</t>
        </is>
      </c>
      <c r="N6" s="66" t="inlineStr"/>
      <c r="O6" s="62" t="inlineStr"/>
      <c r="P6" s="63" t="inlineStr"/>
      <c r="Q6" s="62" t="inlineStr"/>
      <c r="R6" s="63" t="inlineStr"/>
    </row>
    <row r="7" ht="32" customHeight="1">
      <c r="A7" s="37">
        <f>IFERROR(IF(C7&lt;&gt;"","INQ-"&amp;TEXT(ROW()-4,"000"),""),"")</f>
        <v/>
      </c>
      <c r="B7" s="59" t="inlineStr"/>
      <c r="C7" s="60" t="inlineStr"/>
      <c r="D7" s="60" t="inlineStr"/>
      <c r="E7" s="59" t="inlineStr"/>
      <c r="F7" s="59" t="inlineStr"/>
      <c r="G7" s="60" t="inlineStr"/>
      <c r="H7" s="64" t="inlineStr"/>
      <c r="I7" s="59" t="inlineStr"/>
      <c r="J7" s="59" t="inlineStr"/>
      <c r="K7" s="59" t="inlineStr"/>
      <c r="L7" s="59" t="inlineStr"/>
      <c r="M7" s="65" t="inlineStr">
        <is>
          <t>25%</t>
        </is>
      </c>
      <c r="N7" s="64" t="inlineStr"/>
      <c r="O7" s="59" t="inlineStr"/>
      <c r="P7" s="60" t="inlineStr"/>
      <c r="Q7" s="59" t="inlineStr"/>
      <c r="R7" s="60" t="inlineStr"/>
    </row>
    <row r="8" ht="32" customHeight="1">
      <c r="A8" s="37">
        <f>IFERROR(IF(C8&lt;&gt;"","INQ-"&amp;TEXT(ROW()-4,"000"),""),"")</f>
        <v/>
      </c>
      <c r="B8" s="62" t="inlineStr"/>
      <c r="C8" s="63" t="inlineStr"/>
      <c r="D8" s="63" t="inlineStr"/>
      <c r="E8" s="62" t="inlineStr"/>
      <c r="F8" s="62" t="inlineStr"/>
      <c r="G8" s="63" t="inlineStr"/>
      <c r="H8" s="66" t="inlineStr"/>
      <c r="I8" s="62" t="inlineStr"/>
      <c r="J8" s="62" t="inlineStr"/>
      <c r="K8" s="62" t="inlineStr"/>
      <c r="L8" s="62" t="inlineStr"/>
      <c r="M8" s="65" t="inlineStr">
        <is>
          <t>25%</t>
        </is>
      </c>
      <c r="N8" s="66" t="inlineStr"/>
      <c r="O8" s="62" t="inlineStr"/>
      <c r="P8" s="63" t="inlineStr"/>
      <c r="Q8" s="62" t="inlineStr"/>
      <c r="R8" s="63" t="inlineStr"/>
    </row>
    <row r="9" ht="32" customHeight="1">
      <c r="A9" s="37">
        <f>IFERROR(IF(C9&lt;&gt;"","INQ-"&amp;TEXT(ROW()-4,"000"),""),"")</f>
        <v/>
      </c>
      <c r="B9" s="59" t="inlineStr"/>
      <c r="C9" s="60" t="inlineStr"/>
      <c r="D9" s="60" t="inlineStr"/>
      <c r="E9" s="59" t="inlineStr"/>
      <c r="F9" s="59" t="inlineStr"/>
      <c r="G9" s="60" t="inlineStr"/>
      <c r="H9" s="64" t="inlineStr"/>
      <c r="I9" s="59" t="inlineStr"/>
      <c r="J9" s="59" t="inlineStr"/>
      <c r="K9" s="59" t="inlineStr"/>
      <c r="L9" s="59" t="inlineStr"/>
      <c r="M9" s="65" t="inlineStr">
        <is>
          <t>25%</t>
        </is>
      </c>
      <c r="N9" s="64" t="inlineStr"/>
      <c r="O9" s="59" t="inlineStr"/>
      <c r="P9" s="60" t="inlineStr"/>
      <c r="Q9" s="59" t="inlineStr"/>
      <c r="R9" s="60" t="inlineStr"/>
    </row>
    <row r="10" ht="32" customHeight="1">
      <c r="A10" s="37">
        <f>IFERROR(IF(C10&lt;&gt;"","INQ-"&amp;TEXT(ROW()-4,"000"),""),"")</f>
        <v/>
      </c>
      <c r="B10" s="62" t="inlineStr"/>
      <c r="C10" s="63" t="inlineStr"/>
      <c r="D10" s="63" t="inlineStr"/>
      <c r="E10" s="62" t="inlineStr"/>
      <c r="F10" s="62" t="inlineStr"/>
      <c r="G10" s="63" t="inlineStr"/>
      <c r="H10" s="66" t="inlineStr"/>
      <c r="I10" s="62" t="inlineStr"/>
      <c r="J10" s="62" t="inlineStr"/>
      <c r="K10" s="62" t="inlineStr"/>
      <c r="L10" s="62" t="inlineStr"/>
      <c r="M10" s="65" t="inlineStr">
        <is>
          <t>25%</t>
        </is>
      </c>
      <c r="N10" s="66" t="inlineStr"/>
      <c r="O10" s="62" t="inlineStr"/>
      <c r="P10" s="63" t="inlineStr"/>
      <c r="Q10" s="62" t="inlineStr"/>
      <c r="R10" s="63" t="inlineStr"/>
    </row>
    <row r="11" ht="32" customHeight="1">
      <c r="A11" s="37">
        <f>IFERROR(IF(C11&lt;&gt;"","INQ-"&amp;TEXT(ROW()-4,"000"),""),"")</f>
        <v/>
      </c>
      <c r="B11" s="59" t="inlineStr"/>
      <c r="C11" s="60" t="inlineStr"/>
      <c r="D11" s="60" t="inlineStr"/>
      <c r="E11" s="59" t="inlineStr"/>
      <c r="F11" s="59" t="inlineStr"/>
      <c r="G11" s="60" t="inlineStr"/>
      <c r="H11" s="64" t="inlineStr"/>
      <c r="I11" s="59" t="inlineStr"/>
      <c r="J11" s="59" t="inlineStr"/>
      <c r="K11" s="59" t="inlineStr"/>
      <c r="L11" s="59" t="inlineStr"/>
      <c r="M11" s="65" t="inlineStr">
        <is>
          <t>25%</t>
        </is>
      </c>
      <c r="N11" s="64" t="inlineStr"/>
      <c r="O11" s="59" t="inlineStr"/>
      <c r="P11" s="60" t="inlineStr"/>
      <c r="Q11" s="59" t="inlineStr"/>
      <c r="R11" s="60" t="inlineStr"/>
    </row>
    <row r="12" ht="32" customHeight="1">
      <c r="A12" s="37">
        <f>IFERROR(IF(C12&lt;&gt;"","INQ-"&amp;TEXT(ROW()-4,"000"),""),"")</f>
        <v/>
      </c>
      <c r="B12" s="62" t="inlineStr"/>
      <c r="C12" s="63" t="inlineStr"/>
      <c r="D12" s="63" t="inlineStr"/>
      <c r="E12" s="62" t="inlineStr"/>
      <c r="F12" s="62" t="inlineStr"/>
      <c r="G12" s="63" t="inlineStr"/>
      <c r="H12" s="66" t="inlineStr"/>
      <c r="I12" s="62" t="inlineStr"/>
      <c r="J12" s="62" t="inlineStr"/>
      <c r="K12" s="62" t="inlineStr"/>
      <c r="L12" s="62" t="inlineStr"/>
      <c r="M12" s="65" t="inlineStr">
        <is>
          <t>25%</t>
        </is>
      </c>
      <c r="N12" s="66" t="inlineStr"/>
      <c r="O12" s="62" t="inlineStr"/>
      <c r="P12" s="63" t="inlineStr"/>
      <c r="Q12" s="62" t="inlineStr"/>
      <c r="R12" s="63" t="inlineStr"/>
    </row>
    <row r="13" ht="32" customHeight="1">
      <c r="A13" s="37">
        <f>IFERROR(IF(C13&lt;&gt;"","INQ-"&amp;TEXT(ROW()-4,"000"),""),"")</f>
        <v/>
      </c>
      <c r="B13" s="59" t="inlineStr"/>
      <c r="C13" s="60" t="inlineStr"/>
      <c r="D13" s="60" t="inlineStr"/>
      <c r="E13" s="59" t="inlineStr"/>
      <c r="F13" s="59" t="inlineStr"/>
      <c r="G13" s="60" t="inlineStr"/>
      <c r="H13" s="64" t="inlineStr"/>
      <c r="I13" s="59" t="inlineStr"/>
      <c r="J13" s="59" t="inlineStr"/>
      <c r="K13" s="59" t="inlineStr"/>
      <c r="L13" s="59" t="inlineStr"/>
      <c r="M13" s="65" t="inlineStr">
        <is>
          <t>25%</t>
        </is>
      </c>
      <c r="N13" s="64" t="inlineStr"/>
      <c r="O13" s="59" t="inlineStr"/>
      <c r="P13" s="60" t="inlineStr"/>
      <c r="Q13" s="59" t="inlineStr"/>
      <c r="R13" s="60" t="inlineStr"/>
    </row>
    <row r="14" ht="32" customHeight="1">
      <c r="A14" s="37">
        <f>IFERROR(IF(C14&lt;&gt;"","INQ-"&amp;TEXT(ROW()-4,"000"),""),"")</f>
        <v/>
      </c>
      <c r="B14" s="62" t="inlineStr"/>
      <c r="C14" s="63" t="inlineStr"/>
      <c r="D14" s="63" t="inlineStr"/>
      <c r="E14" s="62" t="inlineStr"/>
      <c r="F14" s="62" t="inlineStr"/>
      <c r="G14" s="63" t="inlineStr"/>
      <c r="H14" s="66" t="inlineStr"/>
      <c r="I14" s="62" t="inlineStr"/>
      <c r="J14" s="62" t="inlineStr"/>
      <c r="K14" s="62" t="inlineStr"/>
      <c r="L14" s="62" t="inlineStr"/>
      <c r="M14" s="65" t="inlineStr">
        <is>
          <t>25%</t>
        </is>
      </c>
      <c r="N14" s="66" t="inlineStr"/>
      <c r="O14" s="62" t="inlineStr"/>
      <c r="P14" s="63" t="inlineStr"/>
      <c r="Q14" s="62" t="inlineStr"/>
      <c r="R14" s="63" t="inlineStr"/>
    </row>
    <row r="15" ht="32" customHeight="1">
      <c r="A15" s="37">
        <f>IFERROR(IF(C15&lt;&gt;"","INQ-"&amp;TEXT(ROW()-4,"000"),""),"")</f>
        <v/>
      </c>
      <c r="B15" s="59" t="inlineStr"/>
      <c r="C15" s="60" t="inlineStr"/>
      <c r="D15" s="60" t="inlineStr"/>
      <c r="E15" s="59" t="inlineStr"/>
      <c r="F15" s="59" t="inlineStr"/>
      <c r="G15" s="60" t="inlineStr"/>
      <c r="H15" s="64" t="inlineStr"/>
      <c r="I15" s="59" t="inlineStr"/>
      <c r="J15" s="59" t="inlineStr"/>
      <c r="K15" s="59" t="inlineStr"/>
      <c r="L15" s="59" t="inlineStr"/>
      <c r="M15" s="65" t="inlineStr">
        <is>
          <t>25%</t>
        </is>
      </c>
      <c r="N15" s="64" t="inlineStr"/>
      <c r="O15" s="59" t="inlineStr"/>
      <c r="P15" s="60" t="inlineStr"/>
      <c r="Q15" s="59" t="inlineStr"/>
      <c r="R15" s="60" t="inlineStr"/>
    </row>
    <row r="16" ht="32" customHeight="1">
      <c r="A16" s="37">
        <f>IFERROR(IF(C16&lt;&gt;"","INQ-"&amp;TEXT(ROW()-4,"000"),""),"")</f>
        <v/>
      </c>
      <c r="B16" s="62" t="inlineStr"/>
      <c r="C16" s="63" t="inlineStr"/>
      <c r="D16" s="63" t="inlineStr"/>
      <c r="E16" s="62" t="inlineStr"/>
      <c r="F16" s="62" t="inlineStr"/>
      <c r="G16" s="63" t="inlineStr"/>
      <c r="H16" s="66" t="inlineStr"/>
      <c r="I16" s="62" t="inlineStr"/>
      <c r="J16" s="62" t="inlineStr"/>
      <c r="K16" s="62" t="inlineStr"/>
      <c r="L16" s="62" t="inlineStr"/>
      <c r="M16" s="65" t="inlineStr">
        <is>
          <t>25%</t>
        </is>
      </c>
      <c r="N16" s="66" t="inlineStr"/>
      <c r="O16" s="62" t="inlineStr"/>
      <c r="P16" s="63" t="inlineStr"/>
      <c r="Q16" s="62" t="inlineStr"/>
      <c r="R16" s="63" t="inlineStr"/>
    </row>
    <row r="17" ht="32" customHeight="1">
      <c r="A17" s="37">
        <f>IFERROR(IF(C17&lt;&gt;"","INQ-"&amp;TEXT(ROW()-4,"000"),""),"")</f>
        <v/>
      </c>
      <c r="B17" s="59" t="inlineStr"/>
      <c r="C17" s="60" t="inlineStr"/>
      <c r="D17" s="60" t="inlineStr"/>
      <c r="E17" s="59" t="inlineStr"/>
      <c r="F17" s="59" t="inlineStr"/>
      <c r="G17" s="60" t="inlineStr"/>
      <c r="H17" s="64" t="inlineStr"/>
      <c r="I17" s="59" t="inlineStr"/>
      <c r="J17" s="59" t="inlineStr"/>
      <c r="K17" s="59" t="inlineStr"/>
      <c r="L17" s="59" t="inlineStr"/>
      <c r="M17" s="65" t="inlineStr">
        <is>
          <t>25%</t>
        </is>
      </c>
      <c r="N17" s="64" t="inlineStr"/>
      <c r="O17" s="59" t="inlineStr"/>
      <c r="P17" s="60" t="inlineStr"/>
      <c r="Q17" s="59" t="inlineStr"/>
      <c r="R17" s="60" t="inlineStr"/>
    </row>
    <row r="18" ht="32" customHeight="1">
      <c r="A18" s="37">
        <f>IFERROR(IF(C18&lt;&gt;"","INQ-"&amp;TEXT(ROW()-4,"000"),""),"")</f>
        <v/>
      </c>
      <c r="B18" s="62" t="inlineStr"/>
      <c r="C18" s="63" t="inlineStr"/>
      <c r="D18" s="63" t="inlineStr"/>
      <c r="E18" s="62" t="inlineStr"/>
      <c r="F18" s="62" t="inlineStr"/>
      <c r="G18" s="63" t="inlineStr"/>
      <c r="H18" s="66" t="inlineStr"/>
      <c r="I18" s="62" t="inlineStr"/>
      <c r="J18" s="62" t="inlineStr"/>
      <c r="K18" s="62" t="inlineStr"/>
      <c r="L18" s="62" t="inlineStr"/>
      <c r="M18" s="65" t="inlineStr">
        <is>
          <t>25%</t>
        </is>
      </c>
      <c r="N18" s="66" t="inlineStr"/>
      <c r="O18" s="62" t="inlineStr"/>
      <c r="P18" s="63" t="inlineStr"/>
      <c r="Q18" s="62" t="inlineStr"/>
      <c r="R18" s="63" t="inlineStr"/>
    </row>
    <row r="19" ht="32" customHeight="1">
      <c r="A19" s="37">
        <f>IFERROR(IF(C19&lt;&gt;"","INQ-"&amp;TEXT(ROW()-4,"000"),""),"")</f>
        <v/>
      </c>
      <c r="B19" s="59" t="inlineStr"/>
      <c r="C19" s="60" t="inlineStr"/>
      <c r="D19" s="60" t="inlineStr"/>
      <c r="E19" s="59" t="inlineStr"/>
      <c r="F19" s="59" t="inlineStr"/>
      <c r="G19" s="60" t="inlineStr"/>
      <c r="H19" s="64" t="inlineStr"/>
      <c r="I19" s="59" t="inlineStr"/>
      <c r="J19" s="59" t="inlineStr"/>
      <c r="K19" s="59" t="inlineStr"/>
      <c r="L19" s="59" t="inlineStr"/>
      <c r="M19" s="65" t="inlineStr">
        <is>
          <t>25%</t>
        </is>
      </c>
      <c r="N19" s="64" t="inlineStr"/>
      <c r="O19" s="59" t="inlineStr"/>
      <c r="P19" s="60" t="inlineStr"/>
      <c r="Q19" s="59" t="inlineStr"/>
      <c r="R19" s="60" t="inlineStr"/>
    </row>
    <row r="20" ht="32" customHeight="1">
      <c r="A20" s="37">
        <f>IFERROR(IF(C20&lt;&gt;"","INQ-"&amp;TEXT(ROW()-4,"000"),""),"")</f>
        <v/>
      </c>
      <c r="B20" s="62" t="inlineStr"/>
      <c r="C20" s="63" t="inlineStr"/>
      <c r="D20" s="63" t="inlineStr"/>
      <c r="E20" s="62" t="inlineStr"/>
      <c r="F20" s="62" t="inlineStr"/>
      <c r="G20" s="63" t="inlineStr"/>
      <c r="H20" s="66" t="inlineStr"/>
      <c r="I20" s="62" t="inlineStr"/>
      <c r="J20" s="62" t="inlineStr"/>
      <c r="K20" s="62" t="inlineStr"/>
      <c r="L20" s="62" t="inlineStr"/>
      <c r="M20" s="65" t="inlineStr">
        <is>
          <t>25%</t>
        </is>
      </c>
      <c r="N20" s="66" t="inlineStr"/>
      <c r="O20" s="62" t="inlineStr"/>
      <c r="P20" s="63" t="inlineStr"/>
      <c r="Q20" s="62" t="inlineStr"/>
      <c r="R20" s="63" t="inlineStr"/>
    </row>
    <row r="21" ht="32" customHeight="1">
      <c r="A21" s="37">
        <f>IFERROR(IF(C21&lt;&gt;"","INQ-"&amp;TEXT(ROW()-4,"000"),""),"")</f>
        <v/>
      </c>
      <c r="B21" s="59" t="inlineStr"/>
      <c r="C21" s="60" t="inlineStr"/>
      <c r="D21" s="60" t="inlineStr"/>
      <c r="E21" s="59" t="inlineStr"/>
      <c r="F21" s="59" t="inlineStr"/>
      <c r="G21" s="60" t="inlineStr"/>
      <c r="H21" s="64" t="inlineStr"/>
      <c r="I21" s="59" t="inlineStr"/>
      <c r="J21" s="59" t="inlineStr"/>
      <c r="K21" s="59" t="inlineStr"/>
      <c r="L21" s="59" t="inlineStr"/>
      <c r="M21" s="65" t="inlineStr">
        <is>
          <t>25%</t>
        </is>
      </c>
      <c r="N21" s="64" t="inlineStr"/>
      <c r="O21" s="59" t="inlineStr"/>
      <c r="P21" s="60" t="inlineStr"/>
      <c r="Q21" s="59" t="inlineStr"/>
      <c r="R21" s="60" t="inlineStr"/>
    </row>
    <row r="22" ht="32" customHeight="1">
      <c r="A22" s="37">
        <f>IFERROR(IF(C22&lt;&gt;"","INQ-"&amp;TEXT(ROW()-4,"000"),""),"")</f>
        <v/>
      </c>
      <c r="B22" s="62" t="inlineStr"/>
      <c r="C22" s="63" t="inlineStr"/>
      <c r="D22" s="63" t="inlineStr"/>
      <c r="E22" s="62" t="inlineStr"/>
      <c r="F22" s="62" t="inlineStr"/>
      <c r="G22" s="63" t="inlineStr"/>
      <c r="H22" s="66" t="inlineStr"/>
      <c r="I22" s="62" t="inlineStr"/>
      <c r="J22" s="62" t="inlineStr"/>
      <c r="K22" s="62" t="inlineStr"/>
      <c r="L22" s="62" t="inlineStr"/>
      <c r="M22" s="65" t="inlineStr">
        <is>
          <t>25%</t>
        </is>
      </c>
      <c r="N22" s="66" t="inlineStr"/>
      <c r="O22" s="62" t="inlineStr"/>
      <c r="P22" s="63" t="inlineStr"/>
      <c r="Q22" s="62" t="inlineStr"/>
      <c r="R22" s="63" t="inlineStr"/>
    </row>
    <row r="23" ht="32" customHeight="1">
      <c r="A23" s="37">
        <f>IFERROR(IF(C23&lt;&gt;"","INQ-"&amp;TEXT(ROW()-4,"000"),""),"")</f>
        <v/>
      </c>
      <c r="B23" s="59" t="inlineStr"/>
      <c r="C23" s="60" t="inlineStr"/>
      <c r="D23" s="60" t="inlineStr"/>
      <c r="E23" s="59" t="inlineStr"/>
      <c r="F23" s="59" t="inlineStr"/>
      <c r="G23" s="60" t="inlineStr"/>
      <c r="H23" s="64" t="inlineStr"/>
      <c r="I23" s="59" t="inlineStr"/>
      <c r="J23" s="59" t="inlineStr"/>
      <c r="K23" s="59" t="inlineStr"/>
      <c r="L23" s="59" t="inlineStr"/>
      <c r="M23" s="65" t="inlineStr">
        <is>
          <t>25%</t>
        </is>
      </c>
      <c r="N23" s="64" t="inlineStr"/>
      <c r="O23" s="59" t="inlineStr"/>
      <c r="P23" s="60" t="inlineStr"/>
      <c r="Q23" s="59" t="inlineStr"/>
      <c r="R23" s="60" t="inlineStr"/>
    </row>
    <row r="24" ht="32" customHeight="1">
      <c r="A24" s="37">
        <f>IFERROR(IF(C24&lt;&gt;"","INQ-"&amp;TEXT(ROW()-4,"000"),""),"")</f>
        <v/>
      </c>
      <c r="B24" s="62" t="inlineStr"/>
      <c r="C24" s="63" t="inlineStr"/>
      <c r="D24" s="63" t="inlineStr"/>
      <c r="E24" s="62" t="inlineStr"/>
      <c r="F24" s="62" t="inlineStr"/>
      <c r="G24" s="63" t="inlineStr"/>
      <c r="H24" s="66" t="inlineStr"/>
      <c r="I24" s="62" t="inlineStr"/>
      <c r="J24" s="62" t="inlineStr"/>
      <c r="K24" s="62" t="inlineStr"/>
      <c r="L24" s="62" t="inlineStr"/>
      <c r="M24" s="65" t="inlineStr">
        <is>
          <t>25%</t>
        </is>
      </c>
      <c r="N24" s="66" t="inlineStr"/>
      <c r="O24" s="62" t="inlineStr"/>
      <c r="P24" s="63" t="inlineStr"/>
      <c r="Q24" s="62" t="inlineStr"/>
      <c r="R24" s="63" t="inlineStr"/>
    </row>
    <row r="25" ht="32" customHeight="1">
      <c r="A25" s="37">
        <f>IFERROR(IF(C25&lt;&gt;"","INQ-"&amp;TEXT(ROW()-4,"000"),""),"")</f>
        <v/>
      </c>
      <c r="B25" s="59" t="inlineStr"/>
      <c r="C25" s="60" t="inlineStr"/>
      <c r="D25" s="60" t="inlineStr"/>
      <c r="E25" s="59" t="inlineStr"/>
      <c r="F25" s="59" t="inlineStr"/>
      <c r="G25" s="60" t="inlineStr"/>
      <c r="H25" s="64" t="inlineStr"/>
      <c r="I25" s="59" t="inlineStr"/>
      <c r="J25" s="59" t="inlineStr"/>
      <c r="K25" s="59" t="inlineStr"/>
      <c r="L25" s="59" t="inlineStr"/>
      <c r="M25" s="65" t="inlineStr">
        <is>
          <t>25%</t>
        </is>
      </c>
      <c r="N25" s="64" t="inlineStr"/>
      <c r="O25" s="59" t="inlineStr"/>
      <c r="P25" s="60" t="inlineStr"/>
      <c r="Q25" s="59" t="inlineStr"/>
      <c r="R25" s="60" t="inlineStr"/>
    </row>
    <row r="26" ht="32" customHeight="1">
      <c r="A26" s="37">
        <f>IFERROR(IF(C26&lt;&gt;"","INQ-"&amp;TEXT(ROW()-4,"000"),""),"")</f>
        <v/>
      </c>
      <c r="B26" s="62" t="inlineStr"/>
      <c r="C26" s="63" t="inlineStr"/>
      <c r="D26" s="63" t="inlineStr"/>
      <c r="E26" s="62" t="inlineStr"/>
      <c r="F26" s="62" t="inlineStr"/>
      <c r="G26" s="63" t="inlineStr"/>
      <c r="H26" s="66" t="inlineStr"/>
      <c r="I26" s="62" t="inlineStr"/>
      <c r="J26" s="62" t="inlineStr"/>
      <c r="K26" s="62" t="inlineStr"/>
      <c r="L26" s="62" t="inlineStr"/>
      <c r="M26" s="65" t="inlineStr">
        <is>
          <t>25%</t>
        </is>
      </c>
      <c r="N26" s="66" t="inlineStr"/>
      <c r="O26" s="62" t="inlineStr"/>
      <c r="P26" s="63" t="inlineStr"/>
      <c r="Q26" s="62" t="inlineStr"/>
      <c r="R26" s="63" t="inlineStr"/>
    </row>
    <row r="27" ht="32" customHeight="1">
      <c r="A27" s="37">
        <f>IFERROR(IF(C27&lt;&gt;"","INQ-"&amp;TEXT(ROW()-4,"000"),""),"")</f>
        <v/>
      </c>
      <c r="B27" s="59" t="inlineStr"/>
      <c r="C27" s="60" t="inlineStr"/>
      <c r="D27" s="60" t="inlineStr"/>
      <c r="E27" s="59" t="inlineStr"/>
      <c r="F27" s="59" t="inlineStr"/>
      <c r="G27" s="60" t="inlineStr"/>
      <c r="H27" s="64" t="inlineStr"/>
      <c r="I27" s="59" t="inlineStr"/>
      <c r="J27" s="59" t="inlineStr"/>
      <c r="K27" s="59" t="inlineStr"/>
      <c r="L27" s="59" t="inlineStr"/>
      <c r="M27" s="65" t="inlineStr">
        <is>
          <t>25%</t>
        </is>
      </c>
      <c r="N27" s="64" t="inlineStr"/>
      <c r="O27" s="59" t="inlineStr"/>
      <c r="P27" s="60" t="inlineStr"/>
      <c r="Q27" s="59" t="inlineStr"/>
      <c r="R27" s="60" t="inlineStr"/>
    </row>
    <row r="28" ht="32" customHeight="1">
      <c r="A28" s="37">
        <f>IFERROR(IF(C28&lt;&gt;"","INQ-"&amp;TEXT(ROW()-4,"000"),""),"")</f>
        <v/>
      </c>
      <c r="B28" s="62" t="inlineStr"/>
      <c r="C28" s="63" t="inlineStr"/>
      <c r="D28" s="63" t="inlineStr"/>
      <c r="E28" s="62" t="inlineStr"/>
      <c r="F28" s="62" t="inlineStr"/>
      <c r="G28" s="63" t="inlineStr"/>
      <c r="H28" s="66" t="inlineStr"/>
      <c r="I28" s="62" t="inlineStr"/>
      <c r="J28" s="62" t="inlineStr"/>
      <c r="K28" s="62" t="inlineStr"/>
      <c r="L28" s="62" t="inlineStr"/>
      <c r="M28" s="65" t="inlineStr">
        <is>
          <t>25%</t>
        </is>
      </c>
      <c r="N28" s="66" t="inlineStr"/>
      <c r="O28" s="62" t="inlineStr"/>
      <c r="P28" s="63" t="inlineStr"/>
      <c r="Q28" s="62" t="inlineStr"/>
      <c r="R28" s="63" t="inlineStr"/>
    </row>
    <row r="29" ht="32" customHeight="1">
      <c r="A29" s="37">
        <f>IFERROR(IF(C29&lt;&gt;"","INQ-"&amp;TEXT(ROW()-4,"000"),""),"")</f>
        <v/>
      </c>
      <c r="B29" s="59" t="inlineStr"/>
      <c r="C29" s="60" t="inlineStr"/>
      <c r="D29" s="60" t="inlineStr"/>
      <c r="E29" s="59" t="inlineStr"/>
      <c r="F29" s="59" t="inlineStr"/>
      <c r="G29" s="60" t="inlineStr"/>
      <c r="H29" s="64" t="inlineStr"/>
      <c r="I29" s="59" t="inlineStr"/>
      <c r="J29" s="59" t="inlineStr"/>
      <c r="K29" s="59" t="inlineStr"/>
      <c r="L29" s="59" t="inlineStr"/>
      <c r="M29" s="65" t="inlineStr">
        <is>
          <t>25%</t>
        </is>
      </c>
      <c r="N29" s="64" t="inlineStr"/>
      <c r="O29" s="59" t="inlineStr"/>
      <c r="P29" s="60" t="inlineStr"/>
      <c r="Q29" s="59" t="inlineStr"/>
      <c r="R29" s="60" t="inlineStr"/>
    </row>
    <row r="30" ht="32" customHeight="1">
      <c r="A30" s="37">
        <f>IFERROR(IF(C30&lt;&gt;"","INQ-"&amp;TEXT(ROW()-4,"000"),""),"")</f>
        <v/>
      </c>
      <c r="B30" s="62" t="inlineStr"/>
      <c r="C30" s="63" t="inlineStr"/>
      <c r="D30" s="63" t="inlineStr"/>
      <c r="E30" s="62" t="inlineStr"/>
      <c r="F30" s="62" t="inlineStr"/>
      <c r="G30" s="63" t="inlineStr"/>
      <c r="H30" s="66" t="inlineStr"/>
      <c r="I30" s="62" t="inlineStr"/>
      <c r="J30" s="62" t="inlineStr"/>
      <c r="K30" s="62" t="inlineStr"/>
      <c r="L30" s="62" t="inlineStr"/>
      <c r="M30" s="65" t="inlineStr">
        <is>
          <t>25%</t>
        </is>
      </c>
      <c r="N30" s="66" t="inlineStr"/>
      <c r="O30" s="62" t="inlineStr"/>
      <c r="P30" s="63" t="inlineStr"/>
      <c r="Q30" s="62" t="inlineStr"/>
      <c r="R30" s="63" t="inlineStr"/>
    </row>
    <row r="31" ht="32" customHeight="1">
      <c r="A31" s="37">
        <f>IFERROR(IF(C31&lt;&gt;"","INQ-"&amp;TEXT(ROW()-4,"000"),""),"")</f>
        <v/>
      </c>
      <c r="B31" s="59" t="inlineStr"/>
      <c r="C31" s="60" t="inlineStr"/>
      <c r="D31" s="60" t="inlineStr"/>
      <c r="E31" s="59" t="inlineStr"/>
      <c r="F31" s="59" t="inlineStr"/>
      <c r="G31" s="60" t="inlineStr"/>
      <c r="H31" s="64" t="inlineStr"/>
      <c r="I31" s="59" t="inlineStr"/>
      <c r="J31" s="59" t="inlineStr"/>
      <c r="K31" s="59" t="inlineStr"/>
      <c r="L31" s="59" t="inlineStr"/>
      <c r="M31" s="65" t="inlineStr">
        <is>
          <t>25%</t>
        </is>
      </c>
      <c r="N31" s="64" t="inlineStr"/>
      <c r="O31" s="59" t="inlineStr"/>
      <c r="P31" s="60" t="inlineStr"/>
      <c r="Q31" s="59" t="inlineStr"/>
      <c r="R31" s="60" t="inlineStr"/>
    </row>
    <row r="32" ht="32" customHeight="1">
      <c r="A32" s="37">
        <f>IFERROR(IF(C32&lt;&gt;"","INQ-"&amp;TEXT(ROW()-4,"000"),""),"")</f>
        <v/>
      </c>
      <c r="B32" s="62" t="inlineStr"/>
      <c r="C32" s="63" t="inlineStr"/>
      <c r="D32" s="63" t="inlineStr"/>
      <c r="E32" s="62" t="inlineStr"/>
      <c r="F32" s="62" t="inlineStr"/>
      <c r="G32" s="63" t="inlineStr"/>
      <c r="H32" s="66" t="inlineStr"/>
      <c r="I32" s="62" t="inlineStr"/>
      <c r="J32" s="62" t="inlineStr"/>
      <c r="K32" s="62" t="inlineStr"/>
      <c r="L32" s="62" t="inlineStr"/>
      <c r="M32" s="65" t="inlineStr">
        <is>
          <t>25%</t>
        </is>
      </c>
      <c r="N32" s="66" t="inlineStr"/>
      <c r="O32" s="62" t="inlineStr"/>
      <c r="P32" s="63" t="inlineStr"/>
      <c r="Q32" s="62" t="inlineStr"/>
      <c r="R32" s="63" t="inlineStr"/>
    </row>
    <row r="33" ht="32" customHeight="1">
      <c r="A33" s="37">
        <f>IFERROR(IF(C33&lt;&gt;"","INQ-"&amp;TEXT(ROW()-4,"000"),""),"")</f>
        <v/>
      </c>
      <c r="B33" s="59" t="inlineStr"/>
      <c r="C33" s="60" t="inlineStr"/>
      <c r="D33" s="60" t="inlineStr"/>
      <c r="E33" s="59" t="inlineStr"/>
      <c r="F33" s="59" t="inlineStr"/>
      <c r="G33" s="60" t="inlineStr"/>
      <c r="H33" s="64" t="inlineStr"/>
      <c r="I33" s="59" t="inlineStr"/>
      <c r="J33" s="59" t="inlineStr"/>
      <c r="K33" s="59" t="inlineStr"/>
      <c r="L33" s="59" t="inlineStr"/>
      <c r="M33" s="65" t="inlineStr">
        <is>
          <t>25%</t>
        </is>
      </c>
      <c r="N33" s="64" t="inlineStr"/>
      <c r="O33" s="59" t="inlineStr"/>
      <c r="P33" s="60" t="inlineStr"/>
      <c r="Q33" s="59" t="inlineStr"/>
      <c r="R33" s="60" t="inlineStr"/>
    </row>
    <row r="34" ht="32" customHeight="1">
      <c r="A34" s="37">
        <f>IFERROR(IF(C34&lt;&gt;"","INQ-"&amp;TEXT(ROW()-4,"000"),""),"")</f>
        <v/>
      </c>
      <c r="B34" s="62" t="inlineStr"/>
      <c r="C34" s="63" t="inlineStr"/>
      <c r="D34" s="63" t="inlineStr"/>
      <c r="E34" s="62" t="inlineStr"/>
      <c r="F34" s="62" t="inlineStr"/>
      <c r="G34" s="63" t="inlineStr"/>
      <c r="H34" s="66" t="inlineStr"/>
      <c r="I34" s="62" t="inlineStr"/>
      <c r="J34" s="62" t="inlineStr"/>
      <c r="K34" s="62" t="inlineStr"/>
      <c r="L34" s="62" t="inlineStr"/>
      <c r="M34" s="65" t="inlineStr">
        <is>
          <t>25%</t>
        </is>
      </c>
      <c r="N34" s="66" t="inlineStr"/>
      <c r="O34" s="62" t="inlineStr"/>
      <c r="P34" s="63" t="inlineStr"/>
      <c r="Q34" s="62" t="inlineStr"/>
      <c r="R34" s="63" t="inlineStr"/>
    </row>
    <row r="35" ht="32" customHeight="1">
      <c r="A35" s="37">
        <f>IFERROR(IF(C35&lt;&gt;"","INQ-"&amp;TEXT(ROW()-4,"000"),""),"")</f>
        <v/>
      </c>
      <c r="B35" s="59" t="inlineStr"/>
      <c r="C35" s="60" t="inlineStr"/>
      <c r="D35" s="60" t="inlineStr"/>
      <c r="E35" s="59" t="inlineStr"/>
      <c r="F35" s="59" t="inlineStr"/>
      <c r="G35" s="60" t="inlineStr"/>
      <c r="H35" s="64" t="inlineStr"/>
      <c r="I35" s="59" t="inlineStr"/>
      <c r="J35" s="59" t="inlineStr"/>
      <c r="K35" s="59" t="inlineStr"/>
      <c r="L35" s="59" t="inlineStr"/>
      <c r="M35" s="65" t="inlineStr">
        <is>
          <t>25%</t>
        </is>
      </c>
      <c r="N35" s="64" t="inlineStr"/>
      <c r="O35" s="59" t="inlineStr"/>
      <c r="P35" s="60" t="inlineStr"/>
      <c r="Q35" s="59" t="inlineStr"/>
      <c r="R35" s="60" t="inlineStr"/>
    </row>
    <row r="36" ht="32" customHeight="1">
      <c r="A36" s="37">
        <f>IFERROR(IF(C36&lt;&gt;"","INQ-"&amp;TEXT(ROW()-4,"000"),""),"")</f>
        <v/>
      </c>
      <c r="B36" s="62" t="inlineStr"/>
      <c r="C36" s="63" t="inlineStr"/>
      <c r="D36" s="63" t="inlineStr"/>
      <c r="E36" s="62" t="inlineStr"/>
      <c r="F36" s="62" t="inlineStr"/>
      <c r="G36" s="63" t="inlineStr"/>
      <c r="H36" s="66" t="inlineStr"/>
      <c r="I36" s="62" t="inlineStr"/>
      <c r="J36" s="62" t="inlineStr"/>
      <c r="K36" s="62" t="inlineStr"/>
      <c r="L36" s="62" t="inlineStr"/>
      <c r="M36" s="65" t="inlineStr">
        <is>
          <t>25%</t>
        </is>
      </c>
      <c r="N36" s="66" t="inlineStr"/>
      <c r="O36" s="62" t="inlineStr"/>
      <c r="P36" s="63" t="inlineStr"/>
      <c r="Q36" s="62" t="inlineStr"/>
      <c r="R36" s="63" t="inlineStr"/>
    </row>
    <row r="37" ht="32" customHeight="1">
      <c r="A37" s="37">
        <f>IFERROR(IF(C37&lt;&gt;"","INQ-"&amp;TEXT(ROW()-4,"000"),""),"")</f>
        <v/>
      </c>
      <c r="B37" s="59" t="inlineStr"/>
      <c r="C37" s="60" t="inlineStr"/>
      <c r="D37" s="60" t="inlineStr"/>
      <c r="E37" s="59" t="inlineStr"/>
      <c r="F37" s="59" t="inlineStr"/>
      <c r="G37" s="60" t="inlineStr"/>
      <c r="H37" s="64" t="inlineStr"/>
      <c r="I37" s="59" t="inlineStr"/>
      <c r="J37" s="59" t="inlineStr"/>
      <c r="K37" s="59" t="inlineStr"/>
      <c r="L37" s="59" t="inlineStr"/>
      <c r="M37" s="65" t="inlineStr">
        <is>
          <t>25%</t>
        </is>
      </c>
      <c r="N37" s="64" t="inlineStr"/>
      <c r="O37" s="59" t="inlineStr"/>
      <c r="P37" s="60" t="inlineStr"/>
      <c r="Q37" s="59" t="inlineStr"/>
      <c r="R37" s="60" t="inlineStr"/>
    </row>
    <row r="38" ht="32" customHeight="1">
      <c r="A38" s="37">
        <f>IFERROR(IF(C38&lt;&gt;"","INQ-"&amp;TEXT(ROW()-4,"000"),""),"")</f>
        <v/>
      </c>
      <c r="B38" s="62" t="inlineStr"/>
      <c r="C38" s="63" t="inlineStr"/>
      <c r="D38" s="63" t="inlineStr"/>
      <c r="E38" s="62" t="inlineStr"/>
      <c r="F38" s="62" t="inlineStr"/>
      <c r="G38" s="63" t="inlineStr"/>
      <c r="H38" s="66" t="inlineStr"/>
      <c r="I38" s="62" t="inlineStr"/>
      <c r="J38" s="62" t="inlineStr"/>
      <c r="K38" s="62" t="inlineStr"/>
      <c r="L38" s="62" t="inlineStr"/>
      <c r="M38" s="65" t="inlineStr">
        <is>
          <t>25%</t>
        </is>
      </c>
      <c r="N38" s="66" t="inlineStr"/>
      <c r="O38" s="62" t="inlineStr"/>
      <c r="P38" s="63" t="inlineStr"/>
      <c r="Q38" s="62" t="inlineStr"/>
      <c r="R38" s="63" t="inlineStr"/>
    </row>
    <row r="39" ht="32" customHeight="1">
      <c r="A39" s="37">
        <f>IFERROR(IF(C39&lt;&gt;"","INQ-"&amp;TEXT(ROW()-4,"000"),""),"")</f>
        <v/>
      </c>
      <c r="B39" s="59" t="inlineStr"/>
      <c r="C39" s="60" t="inlineStr"/>
      <c r="D39" s="60" t="inlineStr"/>
      <c r="E39" s="59" t="inlineStr"/>
      <c r="F39" s="59" t="inlineStr"/>
      <c r="G39" s="60" t="inlineStr"/>
      <c r="H39" s="64" t="inlineStr"/>
      <c r="I39" s="59" t="inlineStr"/>
      <c r="J39" s="59" t="inlineStr"/>
      <c r="K39" s="59" t="inlineStr"/>
      <c r="L39" s="59" t="inlineStr"/>
      <c r="M39" s="65" t="inlineStr">
        <is>
          <t>25%</t>
        </is>
      </c>
      <c r="N39" s="64" t="inlineStr"/>
      <c r="O39" s="59" t="inlineStr"/>
      <c r="P39" s="60" t="inlineStr"/>
      <c r="Q39" s="59" t="inlineStr"/>
      <c r="R39" s="60" t="inlineStr"/>
    </row>
    <row r="40" ht="32" customHeight="1">
      <c r="A40" s="37">
        <f>IFERROR(IF(C40&lt;&gt;"","INQ-"&amp;TEXT(ROW()-4,"000"),""),"")</f>
        <v/>
      </c>
      <c r="B40" s="62" t="inlineStr"/>
      <c r="C40" s="63" t="inlineStr"/>
      <c r="D40" s="63" t="inlineStr"/>
      <c r="E40" s="62" t="inlineStr"/>
      <c r="F40" s="62" t="inlineStr"/>
      <c r="G40" s="63" t="inlineStr"/>
      <c r="H40" s="66" t="inlineStr"/>
      <c r="I40" s="62" t="inlineStr"/>
      <c r="J40" s="62" t="inlineStr"/>
      <c r="K40" s="62" t="inlineStr"/>
      <c r="L40" s="62" t="inlineStr"/>
      <c r="M40" s="65" t="inlineStr">
        <is>
          <t>25%</t>
        </is>
      </c>
      <c r="N40" s="66" t="inlineStr"/>
      <c r="O40" s="62" t="inlineStr"/>
      <c r="P40" s="63" t="inlineStr"/>
      <c r="Q40" s="62" t="inlineStr"/>
      <c r="R40" s="63" t="inlineStr"/>
    </row>
    <row r="41" ht="32" customHeight="1">
      <c r="A41" s="37">
        <f>IFERROR(IF(C41&lt;&gt;"","INQ-"&amp;TEXT(ROW()-4,"000"),""),"")</f>
        <v/>
      </c>
      <c r="B41" s="59" t="inlineStr"/>
      <c r="C41" s="60" t="inlineStr"/>
      <c r="D41" s="60" t="inlineStr"/>
      <c r="E41" s="59" t="inlineStr"/>
      <c r="F41" s="59" t="inlineStr"/>
      <c r="G41" s="60" t="inlineStr"/>
      <c r="H41" s="64" t="inlineStr"/>
      <c r="I41" s="59" t="inlineStr"/>
      <c r="J41" s="59" t="inlineStr"/>
      <c r="K41" s="59" t="inlineStr"/>
      <c r="L41" s="59" t="inlineStr"/>
      <c r="M41" s="65" t="inlineStr">
        <is>
          <t>25%</t>
        </is>
      </c>
      <c r="N41" s="64" t="inlineStr"/>
      <c r="O41" s="59" t="inlineStr"/>
      <c r="P41" s="60" t="inlineStr"/>
      <c r="Q41" s="59" t="inlineStr"/>
      <c r="R41" s="60" t="inlineStr"/>
    </row>
    <row r="42" ht="32" customHeight="1">
      <c r="A42" s="37">
        <f>IFERROR(IF(C42&lt;&gt;"","INQ-"&amp;TEXT(ROW()-4,"000"),""),"")</f>
        <v/>
      </c>
      <c r="B42" s="62" t="inlineStr"/>
      <c r="C42" s="63" t="inlineStr"/>
      <c r="D42" s="63" t="inlineStr"/>
      <c r="E42" s="62" t="inlineStr"/>
      <c r="F42" s="62" t="inlineStr"/>
      <c r="G42" s="63" t="inlineStr"/>
      <c r="H42" s="66" t="inlineStr"/>
      <c r="I42" s="62" t="inlineStr"/>
      <c r="J42" s="62" t="inlineStr"/>
      <c r="K42" s="62" t="inlineStr"/>
      <c r="L42" s="62" t="inlineStr"/>
      <c r="M42" s="65" t="inlineStr">
        <is>
          <t>25%</t>
        </is>
      </c>
      <c r="N42" s="66" t="inlineStr"/>
      <c r="O42" s="62" t="inlineStr"/>
      <c r="P42" s="63" t="inlineStr"/>
      <c r="Q42" s="62" t="inlineStr"/>
      <c r="R42" s="63" t="inlineStr"/>
    </row>
    <row r="43" ht="32" customHeight="1">
      <c r="A43" s="37">
        <f>IFERROR(IF(C43&lt;&gt;"","INQ-"&amp;TEXT(ROW()-4,"000"),""),"")</f>
        <v/>
      </c>
      <c r="B43" s="59" t="inlineStr"/>
      <c r="C43" s="60" t="inlineStr"/>
      <c r="D43" s="60" t="inlineStr"/>
      <c r="E43" s="59" t="inlineStr"/>
      <c r="F43" s="59" t="inlineStr"/>
      <c r="G43" s="60" t="inlineStr"/>
      <c r="H43" s="64" t="inlineStr"/>
      <c r="I43" s="59" t="inlineStr"/>
      <c r="J43" s="59" t="inlineStr"/>
      <c r="K43" s="59" t="inlineStr"/>
      <c r="L43" s="59" t="inlineStr"/>
      <c r="M43" s="65" t="inlineStr">
        <is>
          <t>25%</t>
        </is>
      </c>
      <c r="N43" s="64" t="inlineStr"/>
      <c r="O43" s="59" t="inlineStr"/>
      <c r="P43" s="60" t="inlineStr"/>
      <c r="Q43" s="59" t="inlineStr"/>
      <c r="R43" s="60" t="inlineStr"/>
    </row>
    <row r="44" ht="32" customHeight="1">
      <c r="A44" s="37">
        <f>IFERROR(IF(C44&lt;&gt;"","INQ-"&amp;TEXT(ROW()-4,"000"),""),"")</f>
        <v/>
      </c>
      <c r="B44" s="62" t="inlineStr"/>
      <c r="C44" s="63" t="inlineStr"/>
      <c r="D44" s="63" t="inlineStr"/>
      <c r="E44" s="62" t="inlineStr"/>
      <c r="F44" s="62" t="inlineStr"/>
      <c r="G44" s="63" t="inlineStr"/>
      <c r="H44" s="66" t="inlineStr"/>
      <c r="I44" s="62" t="inlineStr"/>
      <c r="J44" s="62" t="inlineStr"/>
      <c r="K44" s="62" t="inlineStr"/>
      <c r="L44" s="62" t="inlineStr"/>
      <c r="M44" s="65" t="inlineStr">
        <is>
          <t>25%</t>
        </is>
      </c>
      <c r="N44" s="66" t="inlineStr"/>
      <c r="O44" s="62" t="inlineStr"/>
      <c r="P44" s="63" t="inlineStr"/>
      <c r="Q44" s="62" t="inlineStr"/>
      <c r="R44" s="63" t="inlineStr"/>
    </row>
    <row r="45" ht="32" customHeight="1">
      <c r="A45" s="37">
        <f>IFERROR(IF(C45&lt;&gt;"","INQ-"&amp;TEXT(ROW()-4,"000"),""),"")</f>
        <v/>
      </c>
      <c r="B45" s="59" t="inlineStr"/>
      <c r="C45" s="60" t="inlineStr"/>
      <c r="D45" s="60" t="inlineStr"/>
      <c r="E45" s="59" t="inlineStr"/>
      <c r="F45" s="59" t="inlineStr"/>
      <c r="G45" s="60" t="inlineStr"/>
      <c r="H45" s="64" t="inlineStr"/>
      <c r="I45" s="59" t="inlineStr"/>
      <c r="J45" s="59" t="inlineStr"/>
      <c r="K45" s="59" t="inlineStr"/>
      <c r="L45" s="59" t="inlineStr"/>
      <c r="M45" s="65" t="inlineStr">
        <is>
          <t>25%</t>
        </is>
      </c>
      <c r="N45" s="64" t="inlineStr"/>
      <c r="O45" s="59" t="inlineStr"/>
      <c r="P45" s="60" t="inlineStr"/>
      <c r="Q45" s="59" t="inlineStr"/>
      <c r="R45" s="60" t="inlineStr"/>
    </row>
    <row r="46" ht="32" customHeight="1">
      <c r="A46" s="37">
        <f>IFERROR(IF(C46&lt;&gt;"","INQ-"&amp;TEXT(ROW()-4,"000"),""),"")</f>
        <v/>
      </c>
      <c r="B46" s="62" t="inlineStr"/>
      <c r="C46" s="63" t="inlineStr"/>
      <c r="D46" s="63" t="inlineStr"/>
      <c r="E46" s="62" t="inlineStr"/>
      <c r="F46" s="62" t="inlineStr"/>
      <c r="G46" s="63" t="inlineStr"/>
      <c r="H46" s="66" t="inlineStr"/>
      <c r="I46" s="62" t="inlineStr"/>
      <c r="J46" s="62" t="inlineStr"/>
      <c r="K46" s="62" t="inlineStr"/>
      <c r="L46" s="62" t="inlineStr"/>
      <c r="M46" s="65" t="inlineStr">
        <is>
          <t>25%</t>
        </is>
      </c>
      <c r="N46" s="66" t="inlineStr"/>
      <c r="O46" s="62" t="inlineStr"/>
      <c r="P46" s="63" t="inlineStr"/>
      <c r="Q46" s="62" t="inlineStr"/>
      <c r="R46" s="63" t="inlineStr"/>
    </row>
    <row r="47" ht="32" customHeight="1">
      <c r="A47" s="37">
        <f>IFERROR(IF(C47&lt;&gt;"","INQ-"&amp;TEXT(ROW()-4,"000"),""),"")</f>
        <v/>
      </c>
      <c r="B47" s="59" t="inlineStr"/>
      <c r="C47" s="60" t="inlineStr"/>
      <c r="D47" s="60" t="inlineStr"/>
      <c r="E47" s="59" t="inlineStr"/>
      <c r="F47" s="59" t="inlineStr"/>
      <c r="G47" s="60" t="inlineStr"/>
      <c r="H47" s="64" t="inlineStr"/>
      <c r="I47" s="59" t="inlineStr"/>
      <c r="J47" s="59" t="inlineStr"/>
      <c r="K47" s="59" t="inlineStr"/>
      <c r="L47" s="59" t="inlineStr"/>
      <c r="M47" s="65" t="inlineStr">
        <is>
          <t>25%</t>
        </is>
      </c>
      <c r="N47" s="64" t="inlineStr"/>
      <c r="O47" s="59" t="inlineStr"/>
      <c r="P47" s="60" t="inlineStr"/>
      <c r="Q47" s="59" t="inlineStr"/>
      <c r="R47" s="60" t="inlineStr"/>
    </row>
    <row r="48" ht="32" customHeight="1">
      <c r="A48" s="37">
        <f>IFERROR(IF(C48&lt;&gt;"","INQ-"&amp;TEXT(ROW()-4,"000"),""),"")</f>
        <v/>
      </c>
      <c r="B48" s="62" t="inlineStr"/>
      <c r="C48" s="63" t="inlineStr"/>
      <c r="D48" s="63" t="inlineStr"/>
      <c r="E48" s="62" t="inlineStr"/>
      <c r="F48" s="62" t="inlineStr"/>
      <c r="G48" s="63" t="inlineStr"/>
      <c r="H48" s="66" t="inlineStr"/>
      <c r="I48" s="62" t="inlineStr"/>
      <c r="J48" s="62" t="inlineStr"/>
      <c r="K48" s="62" t="inlineStr"/>
      <c r="L48" s="62" t="inlineStr"/>
      <c r="M48" s="65" t="inlineStr">
        <is>
          <t>25%</t>
        </is>
      </c>
      <c r="N48" s="66" t="inlineStr"/>
      <c r="O48" s="62" t="inlineStr"/>
      <c r="P48" s="63" t="inlineStr"/>
      <c r="Q48" s="62" t="inlineStr"/>
      <c r="R48" s="63" t="inlineStr"/>
    </row>
    <row r="49" ht="32" customHeight="1">
      <c r="A49" s="37">
        <f>IFERROR(IF(C49&lt;&gt;"","INQ-"&amp;TEXT(ROW()-4,"000"),""),"")</f>
        <v/>
      </c>
      <c r="B49" s="59" t="inlineStr"/>
      <c r="C49" s="60" t="inlineStr"/>
      <c r="D49" s="60" t="inlineStr"/>
      <c r="E49" s="59" t="inlineStr"/>
      <c r="F49" s="59" t="inlineStr"/>
      <c r="G49" s="60" t="inlineStr"/>
      <c r="H49" s="64" t="inlineStr"/>
      <c r="I49" s="59" t="inlineStr"/>
      <c r="J49" s="59" t="inlineStr"/>
      <c r="K49" s="59" t="inlineStr"/>
      <c r="L49" s="59" t="inlineStr"/>
      <c r="M49" s="65" t="inlineStr">
        <is>
          <t>25%</t>
        </is>
      </c>
      <c r="N49" s="64" t="inlineStr"/>
      <c r="O49" s="59" t="inlineStr"/>
      <c r="P49" s="60" t="inlineStr"/>
      <c r="Q49" s="59" t="inlineStr"/>
      <c r="R49" s="60" t="inlineStr"/>
    </row>
    <row r="50" ht="32" customHeight="1">
      <c r="A50" s="37">
        <f>IFERROR(IF(C50&lt;&gt;"","INQ-"&amp;TEXT(ROW()-4,"000"),""),"")</f>
        <v/>
      </c>
      <c r="B50" s="62" t="inlineStr"/>
      <c r="C50" s="63" t="inlineStr"/>
      <c r="D50" s="63" t="inlineStr"/>
      <c r="E50" s="62" t="inlineStr"/>
      <c r="F50" s="62" t="inlineStr"/>
      <c r="G50" s="63" t="inlineStr"/>
      <c r="H50" s="66" t="inlineStr"/>
      <c r="I50" s="62" t="inlineStr"/>
      <c r="J50" s="62" t="inlineStr"/>
      <c r="K50" s="62" t="inlineStr"/>
      <c r="L50" s="62" t="inlineStr"/>
      <c r="M50" s="65" t="inlineStr">
        <is>
          <t>25%</t>
        </is>
      </c>
      <c r="N50" s="66" t="inlineStr"/>
      <c r="O50" s="62" t="inlineStr"/>
      <c r="P50" s="63" t="inlineStr"/>
      <c r="Q50" s="62" t="inlineStr"/>
      <c r="R50" s="63" t="inlineStr"/>
    </row>
    <row r="51" ht="32" customHeight="1">
      <c r="A51" s="37">
        <f>IFERROR(IF(C51&lt;&gt;"","INQ-"&amp;TEXT(ROW()-4,"000"),""),"")</f>
        <v/>
      </c>
      <c r="B51" s="59" t="inlineStr"/>
      <c r="C51" s="60" t="inlineStr"/>
      <c r="D51" s="60" t="inlineStr"/>
      <c r="E51" s="59" t="inlineStr"/>
      <c r="F51" s="59" t="inlineStr"/>
      <c r="G51" s="60" t="inlineStr"/>
      <c r="H51" s="64" t="inlineStr"/>
      <c r="I51" s="59" t="inlineStr"/>
      <c r="J51" s="59" t="inlineStr"/>
      <c r="K51" s="59" t="inlineStr"/>
      <c r="L51" s="59" t="inlineStr"/>
      <c r="M51" s="65" t="inlineStr">
        <is>
          <t>25%</t>
        </is>
      </c>
      <c r="N51" s="64" t="inlineStr"/>
      <c r="O51" s="59" t="inlineStr"/>
      <c r="P51" s="60" t="inlineStr"/>
      <c r="Q51" s="59" t="inlineStr"/>
      <c r="R51" s="60" t="inlineStr"/>
    </row>
    <row r="52" ht="32" customHeight="1">
      <c r="A52" s="37">
        <f>IFERROR(IF(C52&lt;&gt;"","INQ-"&amp;TEXT(ROW()-4,"000"),""),"")</f>
        <v/>
      </c>
      <c r="B52" s="62" t="inlineStr"/>
      <c r="C52" s="63" t="inlineStr"/>
      <c r="D52" s="63" t="inlineStr"/>
      <c r="E52" s="62" t="inlineStr"/>
      <c r="F52" s="62" t="inlineStr"/>
      <c r="G52" s="63" t="inlineStr"/>
      <c r="H52" s="66" t="inlineStr"/>
      <c r="I52" s="62" t="inlineStr"/>
      <c r="J52" s="62" t="inlineStr"/>
      <c r="K52" s="62" t="inlineStr"/>
      <c r="L52" s="62" t="inlineStr"/>
      <c r="M52" s="65" t="inlineStr">
        <is>
          <t>25%</t>
        </is>
      </c>
      <c r="N52" s="66" t="inlineStr"/>
      <c r="O52" s="62" t="inlineStr"/>
      <c r="P52" s="63" t="inlineStr"/>
      <c r="Q52" s="62" t="inlineStr"/>
      <c r="R52" s="63" t="inlineStr"/>
    </row>
    <row r="53" ht="32" customHeight="1">
      <c r="A53" s="37">
        <f>IFERROR(IF(C53&lt;&gt;"","INQ-"&amp;TEXT(ROW()-4,"000"),""),"")</f>
        <v/>
      </c>
      <c r="B53" s="59" t="inlineStr"/>
      <c r="C53" s="60" t="inlineStr"/>
      <c r="D53" s="60" t="inlineStr"/>
      <c r="E53" s="59" t="inlineStr"/>
      <c r="F53" s="59" t="inlineStr"/>
      <c r="G53" s="60" t="inlineStr"/>
      <c r="H53" s="64" t="inlineStr"/>
      <c r="I53" s="59" t="inlineStr"/>
      <c r="J53" s="59" t="inlineStr"/>
      <c r="K53" s="59" t="inlineStr"/>
      <c r="L53" s="59" t="inlineStr"/>
      <c r="M53" s="65" t="inlineStr">
        <is>
          <t>25%</t>
        </is>
      </c>
      <c r="N53" s="64" t="inlineStr"/>
      <c r="O53" s="59" t="inlineStr"/>
      <c r="P53" s="60" t="inlineStr"/>
      <c r="Q53" s="59" t="inlineStr"/>
      <c r="R53" s="60" t="inlineStr"/>
    </row>
    <row r="54" ht="32" customHeight="1">
      <c r="A54" s="37">
        <f>IFERROR(IF(C54&lt;&gt;"","INQ-"&amp;TEXT(ROW()-4,"000"),""),"")</f>
        <v/>
      </c>
      <c r="B54" s="62" t="inlineStr"/>
      <c r="C54" s="63" t="inlineStr"/>
      <c r="D54" s="63" t="inlineStr"/>
      <c r="E54" s="62" t="inlineStr"/>
      <c r="F54" s="62" t="inlineStr"/>
      <c r="G54" s="63" t="inlineStr"/>
      <c r="H54" s="66" t="inlineStr"/>
      <c r="I54" s="62" t="inlineStr"/>
      <c r="J54" s="62" t="inlineStr"/>
      <c r="K54" s="62" t="inlineStr"/>
      <c r="L54" s="62" t="inlineStr"/>
      <c r="M54" s="65" t="inlineStr">
        <is>
          <t>25%</t>
        </is>
      </c>
      <c r="N54" s="66" t="inlineStr"/>
      <c r="O54" s="62" t="inlineStr"/>
      <c r="P54" s="63" t="inlineStr"/>
      <c r="Q54" s="62" t="inlineStr"/>
      <c r="R54" s="63" t="inlineStr"/>
    </row>
    <row r="55" ht="32" customHeight="1">
      <c r="A55" s="37">
        <f>IFERROR(IF(C55&lt;&gt;"","INQ-"&amp;TEXT(ROW()-4,"000"),""),"")</f>
        <v/>
      </c>
      <c r="B55" s="59" t="inlineStr"/>
      <c r="C55" s="60" t="inlineStr"/>
      <c r="D55" s="60" t="inlineStr"/>
      <c r="E55" s="59" t="inlineStr"/>
      <c r="F55" s="59" t="inlineStr"/>
      <c r="G55" s="60" t="inlineStr"/>
      <c r="H55" s="64" t="inlineStr"/>
      <c r="I55" s="59" t="inlineStr"/>
      <c r="J55" s="59" t="inlineStr"/>
      <c r="K55" s="59" t="inlineStr"/>
      <c r="L55" s="59" t="inlineStr"/>
      <c r="M55" s="65" t="inlineStr">
        <is>
          <t>25%</t>
        </is>
      </c>
      <c r="N55" s="64" t="inlineStr"/>
      <c r="O55" s="59" t="inlineStr"/>
      <c r="P55" s="60" t="inlineStr"/>
      <c r="Q55" s="59" t="inlineStr"/>
      <c r="R55" s="60" t="inlineStr"/>
    </row>
    <row r="56" ht="32" customHeight="1">
      <c r="A56" s="37">
        <f>IFERROR(IF(C56&lt;&gt;"","INQ-"&amp;TEXT(ROW()-4,"000"),""),"")</f>
        <v/>
      </c>
      <c r="B56" s="62" t="inlineStr"/>
      <c r="C56" s="63" t="inlineStr"/>
      <c r="D56" s="63" t="inlineStr"/>
      <c r="E56" s="62" t="inlineStr"/>
      <c r="F56" s="62" t="inlineStr"/>
      <c r="G56" s="63" t="inlineStr"/>
      <c r="H56" s="66" t="inlineStr"/>
      <c r="I56" s="62" t="inlineStr"/>
      <c r="J56" s="62" t="inlineStr"/>
      <c r="K56" s="62" t="inlineStr"/>
      <c r="L56" s="62" t="inlineStr"/>
      <c r="M56" s="65" t="inlineStr">
        <is>
          <t>25%</t>
        </is>
      </c>
      <c r="N56" s="66" t="inlineStr"/>
      <c r="O56" s="62" t="inlineStr"/>
      <c r="P56" s="63" t="inlineStr"/>
      <c r="Q56" s="62" t="inlineStr"/>
      <c r="R56" s="63" t="inlineStr"/>
    </row>
    <row r="57" ht="32" customHeight="1">
      <c r="A57" s="37">
        <f>IFERROR(IF(C57&lt;&gt;"","INQ-"&amp;TEXT(ROW()-4,"000"),""),"")</f>
        <v/>
      </c>
      <c r="B57" s="59" t="inlineStr"/>
      <c r="C57" s="60" t="inlineStr"/>
      <c r="D57" s="60" t="inlineStr"/>
      <c r="E57" s="59" t="inlineStr"/>
      <c r="F57" s="59" t="inlineStr"/>
      <c r="G57" s="60" t="inlineStr"/>
      <c r="H57" s="64" t="inlineStr"/>
      <c r="I57" s="59" t="inlineStr"/>
      <c r="J57" s="59" t="inlineStr"/>
      <c r="K57" s="59" t="inlineStr"/>
      <c r="L57" s="59" t="inlineStr"/>
      <c r="M57" s="65" t="inlineStr">
        <is>
          <t>25%</t>
        </is>
      </c>
      <c r="N57" s="64" t="inlineStr"/>
      <c r="O57" s="59" t="inlineStr"/>
      <c r="P57" s="60" t="inlineStr"/>
      <c r="Q57" s="59" t="inlineStr"/>
      <c r="R57" s="60" t="inlineStr"/>
    </row>
    <row r="58" ht="32" customHeight="1">
      <c r="A58" s="37">
        <f>IFERROR(IF(C58&lt;&gt;"","INQ-"&amp;TEXT(ROW()-4,"000"),""),"")</f>
        <v/>
      </c>
      <c r="B58" s="62" t="inlineStr"/>
      <c r="C58" s="63" t="inlineStr"/>
      <c r="D58" s="63" t="inlineStr"/>
      <c r="E58" s="62" t="inlineStr"/>
      <c r="F58" s="62" t="inlineStr"/>
      <c r="G58" s="63" t="inlineStr"/>
      <c r="H58" s="66" t="inlineStr"/>
      <c r="I58" s="62" t="inlineStr"/>
      <c r="J58" s="62" t="inlineStr"/>
      <c r="K58" s="62" t="inlineStr"/>
      <c r="L58" s="62" t="inlineStr"/>
      <c r="M58" s="65" t="inlineStr">
        <is>
          <t>25%</t>
        </is>
      </c>
      <c r="N58" s="66" t="inlineStr"/>
      <c r="O58" s="62" t="inlineStr"/>
      <c r="P58" s="63" t="inlineStr"/>
      <c r="Q58" s="62" t="inlineStr"/>
      <c r="R58" s="63" t="inlineStr"/>
    </row>
    <row r="59" ht="32" customHeight="1">
      <c r="A59" s="37">
        <f>IFERROR(IF(C59&lt;&gt;"","INQ-"&amp;TEXT(ROW()-4,"000"),""),"")</f>
        <v/>
      </c>
      <c r="B59" s="59" t="inlineStr"/>
      <c r="C59" s="60" t="inlineStr"/>
      <c r="D59" s="60" t="inlineStr"/>
      <c r="E59" s="59" t="inlineStr"/>
      <c r="F59" s="59" t="inlineStr"/>
      <c r="G59" s="60" t="inlineStr"/>
      <c r="H59" s="64" t="inlineStr"/>
      <c r="I59" s="59" t="inlineStr"/>
      <c r="J59" s="59" t="inlineStr"/>
      <c r="K59" s="59" t="inlineStr"/>
      <c r="L59" s="59" t="inlineStr"/>
      <c r="M59" s="65" t="inlineStr">
        <is>
          <t>25%</t>
        </is>
      </c>
      <c r="N59" s="64" t="inlineStr"/>
      <c r="O59" s="59" t="inlineStr"/>
      <c r="P59" s="60" t="inlineStr"/>
      <c r="Q59" s="59" t="inlineStr"/>
      <c r="R59" s="60" t="inlineStr"/>
    </row>
    <row r="60" ht="32" customHeight="1">
      <c r="A60" s="37">
        <f>IFERROR(IF(C60&lt;&gt;"","INQ-"&amp;TEXT(ROW()-4,"000"),""),"")</f>
        <v/>
      </c>
      <c r="B60" s="62" t="inlineStr"/>
      <c r="C60" s="63" t="inlineStr"/>
      <c r="D60" s="63" t="inlineStr"/>
      <c r="E60" s="62" t="inlineStr"/>
      <c r="F60" s="62" t="inlineStr"/>
      <c r="G60" s="63" t="inlineStr"/>
      <c r="H60" s="66" t="inlineStr"/>
      <c r="I60" s="62" t="inlineStr"/>
      <c r="J60" s="62" t="inlineStr"/>
      <c r="K60" s="62" t="inlineStr"/>
      <c r="L60" s="62" t="inlineStr"/>
      <c r="M60" s="65" t="inlineStr">
        <is>
          <t>25%</t>
        </is>
      </c>
      <c r="N60" s="66" t="inlineStr"/>
      <c r="O60" s="62" t="inlineStr"/>
      <c r="P60" s="63" t="inlineStr"/>
      <c r="Q60" s="62" t="inlineStr"/>
      <c r="R60" s="63" t="inlineStr"/>
    </row>
    <row r="61" ht="32" customHeight="1">
      <c r="A61" s="37">
        <f>IFERROR(IF(C61&lt;&gt;"","INQ-"&amp;TEXT(ROW()-4,"000"),""),"")</f>
        <v/>
      </c>
      <c r="B61" s="59" t="inlineStr"/>
      <c r="C61" s="60" t="inlineStr"/>
      <c r="D61" s="60" t="inlineStr"/>
      <c r="E61" s="59" t="inlineStr"/>
      <c r="F61" s="59" t="inlineStr"/>
      <c r="G61" s="60" t="inlineStr"/>
      <c r="H61" s="64" t="inlineStr"/>
      <c r="I61" s="59" t="inlineStr"/>
      <c r="J61" s="59" t="inlineStr"/>
      <c r="K61" s="59" t="inlineStr"/>
      <c r="L61" s="59" t="inlineStr"/>
      <c r="M61" s="65" t="inlineStr">
        <is>
          <t>25%</t>
        </is>
      </c>
      <c r="N61" s="64" t="inlineStr"/>
      <c r="O61" s="59" t="inlineStr"/>
      <c r="P61" s="60" t="inlineStr"/>
      <c r="Q61" s="59" t="inlineStr"/>
      <c r="R61" s="60" t="inlineStr"/>
    </row>
    <row r="62" ht="32" customHeight="1">
      <c r="A62" s="37">
        <f>IFERROR(IF(C62&lt;&gt;"","INQ-"&amp;TEXT(ROW()-4,"000"),""),"")</f>
        <v/>
      </c>
      <c r="B62" s="62" t="inlineStr"/>
      <c r="C62" s="63" t="inlineStr"/>
      <c r="D62" s="63" t="inlineStr"/>
      <c r="E62" s="62" t="inlineStr"/>
      <c r="F62" s="62" t="inlineStr"/>
      <c r="G62" s="63" t="inlineStr"/>
      <c r="H62" s="66" t="inlineStr"/>
      <c r="I62" s="62" t="inlineStr"/>
      <c r="J62" s="62" t="inlineStr"/>
      <c r="K62" s="62" t="inlineStr"/>
      <c r="L62" s="62" t="inlineStr"/>
      <c r="M62" s="65" t="inlineStr">
        <is>
          <t>25%</t>
        </is>
      </c>
      <c r="N62" s="66" t="inlineStr"/>
      <c r="O62" s="62" t="inlineStr"/>
      <c r="P62" s="63" t="inlineStr"/>
      <c r="Q62" s="62" t="inlineStr"/>
      <c r="R62" s="63" t="inlineStr"/>
    </row>
    <row r="63" ht="32" customHeight="1">
      <c r="A63" s="37">
        <f>IFERROR(IF(C63&lt;&gt;"","INQ-"&amp;TEXT(ROW()-4,"000"),""),"")</f>
        <v/>
      </c>
      <c r="B63" s="59" t="inlineStr"/>
      <c r="C63" s="60" t="inlineStr"/>
      <c r="D63" s="60" t="inlineStr"/>
      <c r="E63" s="59" t="inlineStr"/>
      <c r="F63" s="59" t="inlineStr"/>
      <c r="G63" s="60" t="inlineStr"/>
      <c r="H63" s="64" t="inlineStr"/>
      <c r="I63" s="59" t="inlineStr"/>
      <c r="J63" s="59" t="inlineStr"/>
      <c r="K63" s="59" t="inlineStr"/>
      <c r="L63" s="59" t="inlineStr"/>
      <c r="M63" s="65" t="inlineStr">
        <is>
          <t>25%</t>
        </is>
      </c>
      <c r="N63" s="64" t="inlineStr"/>
      <c r="O63" s="59" t="inlineStr"/>
      <c r="P63" s="60" t="inlineStr"/>
      <c r="Q63" s="59" t="inlineStr"/>
      <c r="R63" s="60" t="inlineStr"/>
    </row>
    <row r="64" ht="32" customHeight="1">
      <c r="A64" s="37">
        <f>IFERROR(IF(C64&lt;&gt;"","INQ-"&amp;TEXT(ROW()-4,"000"),""),"")</f>
        <v/>
      </c>
      <c r="B64" s="62" t="inlineStr"/>
      <c r="C64" s="63" t="inlineStr"/>
      <c r="D64" s="63" t="inlineStr"/>
      <c r="E64" s="62" t="inlineStr"/>
      <c r="F64" s="62" t="inlineStr"/>
      <c r="G64" s="63" t="inlineStr"/>
      <c r="H64" s="66" t="inlineStr"/>
      <c r="I64" s="62" t="inlineStr"/>
      <c r="J64" s="62" t="inlineStr"/>
      <c r="K64" s="62" t="inlineStr"/>
      <c r="L64" s="62" t="inlineStr"/>
      <c r="M64" s="65" t="inlineStr">
        <is>
          <t>25%</t>
        </is>
      </c>
      <c r="N64" s="66" t="inlineStr"/>
      <c r="O64" s="62" t="inlineStr"/>
      <c r="P64" s="63" t="inlineStr"/>
      <c r="Q64" s="62" t="inlineStr"/>
      <c r="R64" s="63" t="inlineStr"/>
    </row>
  </sheetData>
  <mergeCells count="2">
    <mergeCell ref="A2:R2"/>
    <mergeCell ref="A1:R1"/>
  </mergeCells>
  <dataValidations count="4">
    <dataValidation sqref="E5 E6 E7 E8 E9 E10 E11 E12 E13 E14 E15 E16 E17 E18 E19 E20 E21 E22 E23 E24 E25 E26 E27 E28 E29 E30 E31 E32 E33 E34 E35 E36 E37 E38 E39 E40 E41 E42 E43 E44 E45 E46 E47 E48 E49 E50 E51 E52 E53 E54 E55 E56 E57 E58 E59 E60 E61 E62 E63 E64" showDropDown="0" showInputMessage="0" showErrorMessage="0" allowBlank="1" type="list">
      <formula1>"Daily Meeting,Existing Relationship,Consultant Referral,Agent Referral,Cold Outreach,Repeat Business"</formula1>
    </dataValidation>
    <dataValidation sqref="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1" type="list">
      <formula1>"In-House (Estimation),Subcontractor Track"</formula1>
    </dataValidation>
    <dataValidation sqref="J5 J6 J7 J8 J9 J10 J11 J12 J13 J14 J15 J16 J17 J18 J19 J20 J21 J22 J23 J24 J25 J26 J27 J28 J29 J30 J31 J32 J33 J34 J35 J36 J37 J38 J39 J40 J41 J42 J43 J44 J45 J46 J47 J48 J49 J50 J51 J52 J53 J54 J55 J56 J57 J58 J59 J60 J61 J62 J63 J64" showDropDown="0" showInputMessage="0" showErrorMessage="0" allowBlank="1" type="list">
      <formula1>"Pending,Sent to Estimation,Estimation Received,—"</formula1>
    </dataValidation>
    <dataValidation sqref="P5 P6 P7 P8 P9 P10 P11 P12 P13 P14 P15 P16 P17 P18 P19 P20 P21 P22 P23 P24 P25 P26 P27 P28 P29 P30 P31 P32 P33 P34 P35 P36 P37 P38 P39 P40 P41 P42 P43 P44 P45 P46 P47 P48 P49 P50 P51 P52 P53 P54 P55 P56 P57 P58 P59 P60 P61 P62 P63 P64" showDropDown="0" showInputMessage="0" showErrorMessage="0" allowBlank="1" type="list">
      <formula1>"Inquiry Received,Under Preparation,Proposal Submitted,Awaiting Decision,Won,Lost,On Hold"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6" customWidth="1" min="3" max="3"/>
    <col width="22" customWidth="1" min="4" max="4"/>
    <col width="16" customWidth="1" min="5" max="5"/>
    <col width="12" customWidth="1" min="6" max="6"/>
    <col width="18" customWidth="1" min="7" max="7"/>
    <col width="14" customWidth="1" min="8" max="8"/>
    <col width="14" customWidth="1" min="9" max="9"/>
    <col width="12" customWidth="1" min="10" max="10"/>
    <col width="14" customWidth="1" min="11" max="11"/>
    <col width="14" customWidth="1" min="12" max="12"/>
    <col width="14" customWidth="1" min="13" max="13"/>
    <col width="12" customWidth="1" min="14" max="14"/>
    <col width="16" customWidth="1" min="15" max="15"/>
    <col width="22" customWidth="1" min="16" max="16"/>
  </cols>
  <sheetData>
    <row r="1" ht="30" customHeight="1">
      <c r="A1" s="58" t="inlineStr">
        <is>
          <t>SUBCONTRACTOR QUOTE LOG — [Salesperson Name]</t>
        </is>
      </c>
    </row>
    <row r="2" ht="16" customHeight="1">
      <c r="A2" s="2" t="inlineStr">
        <is>
          <t>Minimum 3 quotes per inquiry  |  Evaluate on Price + Quality + Resources  |  25% margin applied to winning quote before client submission</t>
        </is>
      </c>
    </row>
    <row r="3" ht="6" customHeight="1"/>
    <row r="4" ht="40" customHeight="1">
      <c r="A4" s="67" t="inlineStr">
        <is>
          <t>Sub Quote Log ID</t>
        </is>
      </c>
      <c r="B4" s="67" t="inlineStr">
        <is>
          <t>Inquiry ID (link)</t>
        </is>
      </c>
      <c r="C4" s="67" t="inlineStr">
        <is>
          <t>Project Name</t>
        </is>
      </c>
      <c r="D4" s="67" t="inlineStr">
        <is>
          <t>Subcontractor Company</t>
        </is>
      </c>
      <c r="E4" s="67" t="inlineStr">
        <is>
          <t>Contact Person</t>
        </is>
      </c>
      <c r="F4" s="67" t="inlineStr">
        <is>
          <t>Quote #
(1/2/3/4)</t>
        </is>
      </c>
      <c r="G4" s="67" t="inlineStr">
        <is>
          <t>Scope Covered</t>
        </is>
      </c>
      <c r="H4" s="67" t="inlineStr">
        <is>
          <t>Sub Quote Value (AED)</t>
        </is>
      </c>
      <c r="I4" s="67" t="inlineStr">
        <is>
          <t>Technical Compliance?</t>
        </is>
      </c>
      <c r="J4" s="67" t="inlineStr">
        <is>
          <t>Resources Rating
(1–5)</t>
        </is>
      </c>
      <c r="K4" s="67" t="inlineStr">
        <is>
          <t>Delivery Timeline</t>
        </is>
      </c>
      <c r="L4" s="67" t="inlineStr">
        <is>
          <t>Recommended? (Y/N)</t>
        </is>
      </c>
      <c r="M4" s="67" t="inlineStr">
        <is>
          <t>Winning Sub Quote (AED)</t>
        </is>
      </c>
      <c r="N4" s="67" t="inlineStr">
        <is>
          <t>Margin %</t>
        </is>
      </c>
      <c r="O4" s="67" t="inlineStr">
        <is>
          <t>Final Proposal Value (AED)</t>
        </is>
      </c>
      <c r="P4" s="67" t="inlineStr">
        <is>
          <t>Evaluation Notes</t>
        </is>
      </c>
    </row>
    <row r="5" ht="30" customHeight="1">
      <c r="A5" s="68">
        <f>IFERROR(IF(B5&lt;&gt;"","SQ-"&amp;TEXT(ROUNDUP((ROW()-4)/4,0),"000"),""),"")</f>
        <v/>
      </c>
      <c r="B5" s="69" t="inlineStr"/>
      <c r="C5" s="70" t="inlineStr"/>
      <c r="D5" s="70" t="inlineStr"/>
      <c r="E5" s="70" t="inlineStr"/>
      <c r="F5" s="69" t="inlineStr"/>
      <c r="G5" s="70" t="inlineStr"/>
      <c r="H5" s="71" t="inlineStr"/>
      <c r="I5" s="69" t="inlineStr"/>
      <c r="J5" s="69" t="inlineStr"/>
      <c r="K5" s="69" t="inlineStr"/>
      <c r="L5" s="69" t="inlineStr"/>
      <c r="M5" s="71" t="inlineStr"/>
      <c r="N5" s="72" t="n">
        <v>0.25</v>
      </c>
      <c r="O5" s="73">
        <f>IFERROR(IF(M5&gt;0,M5*(1+N5),""),"")</f>
        <v/>
      </c>
      <c r="P5" s="70" t="inlineStr"/>
    </row>
    <row r="6" ht="30" customHeight="1">
      <c r="A6" s="68">
        <f>IFERROR(IF(B6&lt;&gt;"","SQ-"&amp;TEXT(ROUNDUP((ROW()-4)/4,0),"000"),""),"")</f>
        <v/>
      </c>
      <c r="B6" s="69" t="inlineStr"/>
      <c r="C6" s="70" t="inlineStr"/>
      <c r="D6" s="70" t="inlineStr"/>
      <c r="E6" s="70" t="inlineStr"/>
      <c r="F6" s="69" t="inlineStr"/>
      <c r="G6" s="70" t="inlineStr"/>
      <c r="H6" s="71" t="inlineStr"/>
      <c r="I6" s="69" t="inlineStr"/>
      <c r="J6" s="69" t="inlineStr"/>
      <c r="K6" s="69" t="inlineStr"/>
      <c r="L6" s="69" t="inlineStr"/>
      <c r="M6" s="71" t="inlineStr"/>
      <c r="N6" s="72" t="n">
        <v>0.25</v>
      </c>
      <c r="O6" s="73">
        <f>IFERROR(IF(M6&gt;0,M6*(1+N6),""),"")</f>
        <v/>
      </c>
      <c r="P6" s="70" t="inlineStr"/>
    </row>
    <row r="7" ht="30" customHeight="1">
      <c r="A7" s="68">
        <f>IFERROR(IF(B7&lt;&gt;"","SQ-"&amp;TEXT(ROUNDUP((ROW()-4)/4,0),"000"),""),"")</f>
        <v/>
      </c>
      <c r="B7" s="69" t="inlineStr"/>
      <c r="C7" s="70" t="inlineStr"/>
      <c r="D7" s="70" t="inlineStr"/>
      <c r="E7" s="70" t="inlineStr"/>
      <c r="F7" s="69" t="inlineStr"/>
      <c r="G7" s="70" t="inlineStr"/>
      <c r="H7" s="71" t="inlineStr"/>
      <c r="I7" s="69" t="inlineStr"/>
      <c r="J7" s="69" t="inlineStr"/>
      <c r="K7" s="69" t="inlineStr"/>
      <c r="L7" s="69" t="inlineStr"/>
      <c r="M7" s="71" t="inlineStr"/>
      <c r="N7" s="72" t="n">
        <v>0.25</v>
      </c>
      <c r="O7" s="73">
        <f>IFERROR(IF(M7&gt;0,M7*(1+N7),""),"")</f>
        <v/>
      </c>
      <c r="P7" s="70" t="inlineStr"/>
    </row>
    <row r="8" ht="30" customHeight="1">
      <c r="A8" s="68">
        <f>IFERROR(IF(B8&lt;&gt;"","SQ-"&amp;TEXT(ROUNDUP((ROW()-4)/4,0),"000"),""),"")</f>
        <v/>
      </c>
      <c r="B8" s="69" t="inlineStr"/>
      <c r="C8" s="70" t="inlineStr"/>
      <c r="D8" s="70" t="inlineStr"/>
      <c r="E8" s="70" t="inlineStr"/>
      <c r="F8" s="69" t="inlineStr"/>
      <c r="G8" s="70" t="inlineStr"/>
      <c r="H8" s="71" t="inlineStr"/>
      <c r="I8" s="69" t="inlineStr"/>
      <c r="J8" s="69" t="inlineStr"/>
      <c r="K8" s="69" t="inlineStr"/>
      <c r="L8" s="69" t="inlineStr"/>
      <c r="M8" s="71" t="inlineStr"/>
      <c r="N8" s="72" t="n">
        <v>0.25</v>
      </c>
      <c r="O8" s="73">
        <f>IFERROR(IF(M8&gt;0,M8*(1+N8),""),"")</f>
        <v/>
      </c>
      <c r="P8" s="70" t="inlineStr"/>
    </row>
    <row r="9" ht="30" customHeight="1">
      <c r="A9" s="74">
        <f>IFERROR(IF(B9&lt;&gt;"","SQ-"&amp;TEXT(ROUNDUP((ROW()-4)/4,0),"000"),""),"")</f>
        <v/>
      </c>
      <c r="B9" s="62" t="inlineStr"/>
      <c r="C9" s="63" t="inlineStr"/>
      <c r="D9" s="63" t="inlineStr"/>
      <c r="E9" s="63" t="inlineStr"/>
      <c r="F9" s="62" t="inlineStr"/>
      <c r="G9" s="63" t="inlineStr"/>
      <c r="H9" s="66" t="inlineStr"/>
      <c r="I9" s="62" t="inlineStr"/>
      <c r="J9" s="62" t="inlineStr"/>
      <c r="K9" s="62" t="inlineStr"/>
      <c r="L9" s="62" t="inlineStr"/>
      <c r="M9" s="66" t="inlineStr"/>
      <c r="N9" s="72" t="n">
        <v>0.25</v>
      </c>
      <c r="O9" s="73">
        <f>IFERROR(IF(M9&gt;0,M9*(1+N9),""),"")</f>
        <v/>
      </c>
      <c r="P9" s="63" t="inlineStr"/>
    </row>
    <row r="10" ht="30" customHeight="1">
      <c r="A10" s="74">
        <f>IFERROR(IF(B10&lt;&gt;"","SQ-"&amp;TEXT(ROUNDUP((ROW()-4)/4,0),"000"),""),"")</f>
        <v/>
      </c>
      <c r="B10" s="62" t="inlineStr"/>
      <c r="C10" s="63" t="inlineStr"/>
      <c r="D10" s="63" t="inlineStr"/>
      <c r="E10" s="63" t="inlineStr"/>
      <c r="F10" s="62" t="inlineStr"/>
      <c r="G10" s="63" t="inlineStr"/>
      <c r="H10" s="66" t="inlineStr"/>
      <c r="I10" s="62" t="inlineStr"/>
      <c r="J10" s="62" t="inlineStr"/>
      <c r="K10" s="62" t="inlineStr"/>
      <c r="L10" s="62" t="inlineStr"/>
      <c r="M10" s="66" t="inlineStr"/>
      <c r="N10" s="72" t="n">
        <v>0.25</v>
      </c>
      <c r="O10" s="73">
        <f>IFERROR(IF(M10&gt;0,M10*(1+N10),""),"")</f>
        <v/>
      </c>
      <c r="P10" s="63" t="inlineStr"/>
    </row>
    <row r="11" ht="30" customHeight="1">
      <c r="A11" s="74">
        <f>IFERROR(IF(B11&lt;&gt;"","SQ-"&amp;TEXT(ROUNDUP((ROW()-4)/4,0),"000"),""),"")</f>
        <v/>
      </c>
      <c r="B11" s="62" t="inlineStr"/>
      <c r="C11" s="63" t="inlineStr"/>
      <c r="D11" s="63" t="inlineStr"/>
      <c r="E11" s="63" t="inlineStr"/>
      <c r="F11" s="62" t="inlineStr"/>
      <c r="G11" s="63" t="inlineStr"/>
      <c r="H11" s="66" t="inlineStr"/>
      <c r="I11" s="62" t="inlineStr"/>
      <c r="J11" s="62" t="inlineStr"/>
      <c r="K11" s="62" t="inlineStr"/>
      <c r="L11" s="62" t="inlineStr"/>
      <c r="M11" s="66" t="inlineStr"/>
      <c r="N11" s="72" t="n">
        <v>0.25</v>
      </c>
      <c r="O11" s="73">
        <f>IFERROR(IF(M11&gt;0,M11*(1+N11),""),"")</f>
        <v/>
      </c>
      <c r="P11" s="63" t="inlineStr"/>
    </row>
    <row r="12" ht="30" customHeight="1">
      <c r="A12" s="74">
        <f>IFERROR(IF(B12&lt;&gt;"","SQ-"&amp;TEXT(ROUNDUP((ROW()-4)/4,0),"000"),""),"")</f>
        <v/>
      </c>
      <c r="B12" s="62" t="inlineStr"/>
      <c r="C12" s="63" t="inlineStr"/>
      <c r="D12" s="63" t="inlineStr"/>
      <c r="E12" s="63" t="inlineStr"/>
      <c r="F12" s="62" t="inlineStr"/>
      <c r="G12" s="63" t="inlineStr"/>
      <c r="H12" s="66" t="inlineStr"/>
      <c r="I12" s="62" t="inlineStr"/>
      <c r="J12" s="62" t="inlineStr"/>
      <c r="K12" s="62" t="inlineStr"/>
      <c r="L12" s="62" t="inlineStr"/>
      <c r="M12" s="66" t="inlineStr"/>
      <c r="N12" s="72" t="n">
        <v>0.25</v>
      </c>
      <c r="O12" s="73">
        <f>IFERROR(IF(M12&gt;0,M12*(1+N12),""),"")</f>
        <v/>
      </c>
      <c r="P12" s="63" t="inlineStr"/>
    </row>
    <row r="13" ht="30" customHeight="1">
      <c r="A13" s="68">
        <f>IFERROR(IF(B13&lt;&gt;"","SQ-"&amp;TEXT(ROUNDUP((ROW()-4)/4,0),"000"),""),"")</f>
        <v/>
      </c>
      <c r="B13" s="69" t="inlineStr"/>
      <c r="C13" s="70" t="inlineStr"/>
      <c r="D13" s="70" t="inlineStr"/>
      <c r="E13" s="70" t="inlineStr"/>
      <c r="F13" s="69" t="inlineStr"/>
      <c r="G13" s="70" t="inlineStr"/>
      <c r="H13" s="71" t="inlineStr"/>
      <c r="I13" s="69" t="inlineStr"/>
      <c r="J13" s="69" t="inlineStr"/>
      <c r="K13" s="69" t="inlineStr"/>
      <c r="L13" s="69" t="inlineStr"/>
      <c r="M13" s="71" t="inlineStr"/>
      <c r="N13" s="72" t="n">
        <v>0.25</v>
      </c>
      <c r="O13" s="73">
        <f>IFERROR(IF(M13&gt;0,M13*(1+N13),""),"")</f>
        <v/>
      </c>
      <c r="P13" s="70" t="inlineStr"/>
    </row>
    <row r="14" ht="30" customHeight="1">
      <c r="A14" s="68">
        <f>IFERROR(IF(B14&lt;&gt;"","SQ-"&amp;TEXT(ROUNDUP((ROW()-4)/4,0),"000"),""),"")</f>
        <v/>
      </c>
      <c r="B14" s="69" t="inlineStr"/>
      <c r="C14" s="70" t="inlineStr"/>
      <c r="D14" s="70" t="inlineStr"/>
      <c r="E14" s="70" t="inlineStr"/>
      <c r="F14" s="69" t="inlineStr"/>
      <c r="G14" s="70" t="inlineStr"/>
      <c r="H14" s="71" t="inlineStr"/>
      <c r="I14" s="69" t="inlineStr"/>
      <c r="J14" s="69" t="inlineStr"/>
      <c r="K14" s="69" t="inlineStr"/>
      <c r="L14" s="69" t="inlineStr"/>
      <c r="M14" s="71" t="inlineStr"/>
      <c r="N14" s="72" t="n">
        <v>0.25</v>
      </c>
      <c r="O14" s="73">
        <f>IFERROR(IF(M14&gt;0,M14*(1+N14),""),"")</f>
        <v/>
      </c>
      <c r="P14" s="70" t="inlineStr"/>
    </row>
    <row r="15" ht="30" customHeight="1">
      <c r="A15" s="68">
        <f>IFERROR(IF(B15&lt;&gt;"","SQ-"&amp;TEXT(ROUNDUP((ROW()-4)/4,0),"000"),""),"")</f>
        <v/>
      </c>
      <c r="B15" s="69" t="inlineStr"/>
      <c r="C15" s="70" t="inlineStr"/>
      <c r="D15" s="70" t="inlineStr"/>
      <c r="E15" s="70" t="inlineStr"/>
      <c r="F15" s="69" t="inlineStr"/>
      <c r="G15" s="70" t="inlineStr"/>
      <c r="H15" s="71" t="inlineStr"/>
      <c r="I15" s="69" t="inlineStr"/>
      <c r="J15" s="69" t="inlineStr"/>
      <c r="K15" s="69" t="inlineStr"/>
      <c r="L15" s="69" t="inlineStr"/>
      <c r="M15" s="71" t="inlineStr"/>
      <c r="N15" s="72" t="n">
        <v>0.25</v>
      </c>
      <c r="O15" s="73">
        <f>IFERROR(IF(M15&gt;0,M15*(1+N15),""),"")</f>
        <v/>
      </c>
      <c r="P15" s="70" t="inlineStr"/>
    </row>
    <row r="16" ht="30" customHeight="1">
      <c r="A16" s="68">
        <f>IFERROR(IF(B16&lt;&gt;"","SQ-"&amp;TEXT(ROUNDUP((ROW()-4)/4,0),"000"),""),"")</f>
        <v/>
      </c>
      <c r="B16" s="69" t="inlineStr"/>
      <c r="C16" s="70" t="inlineStr"/>
      <c r="D16" s="70" t="inlineStr"/>
      <c r="E16" s="70" t="inlineStr"/>
      <c r="F16" s="69" t="inlineStr"/>
      <c r="G16" s="70" t="inlineStr"/>
      <c r="H16" s="71" t="inlineStr"/>
      <c r="I16" s="69" t="inlineStr"/>
      <c r="J16" s="69" t="inlineStr"/>
      <c r="K16" s="69" t="inlineStr"/>
      <c r="L16" s="69" t="inlineStr"/>
      <c r="M16" s="71" t="inlineStr"/>
      <c r="N16" s="72" t="n">
        <v>0.25</v>
      </c>
      <c r="O16" s="73">
        <f>IFERROR(IF(M16&gt;0,M16*(1+N16),""),"")</f>
        <v/>
      </c>
      <c r="P16" s="70" t="inlineStr"/>
    </row>
    <row r="17" ht="30" customHeight="1">
      <c r="A17" s="74">
        <f>IFERROR(IF(B17&lt;&gt;"","SQ-"&amp;TEXT(ROUNDUP((ROW()-4)/4,0),"000"),""),"")</f>
        <v/>
      </c>
      <c r="B17" s="62" t="inlineStr"/>
      <c r="C17" s="63" t="inlineStr"/>
      <c r="D17" s="63" t="inlineStr"/>
      <c r="E17" s="63" t="inlineStr"/>
      <c r="F17" s="62" t="inlineStr"/>
      <c r="G17" s="63" t="inlineStr"/>
      <c r="H17" s="66" t="inlineStr"/>
      <c r="I17" s="62" t="inlineStr"/>
      <c r="J17" s="62" t="inlineStr"/>
      <c r="K17" s="62" t="inlineStr"/>
      <c r="L17" s="62" t="inlineStr"/>
      <c r="M17" s="66" t="inlineStr"/>
      <c r="N17" s="72" t="n">
        <v>0.25</v>
      </c>
      <c r="O17" s="73">
        <f>IFERROR(IF(M17&gt;0,M17*(1+N17),""),"")</f>
        <v/>
      </c>
      <c r="P17" s="63" t="inlineStr"/>
    </row>
    <row r="18" ht="30" customHeight="1">
      <c r="A18" s="74">
        <f>IFERROR(IF(B18&lt;&gt;"","SQ-"&amp;TEXT(ROUNDUP((ROW()-4)/4,0),"000"),""),"")</f>
        <v/>
      </c>
      <c r="B18" s="62" t="inlineStr"/>
      <c r="C18" s="63" t="inlineStr"/>
      <c r="D18" s="63" t="inlineStr"/>
      <c r="E18" s="63" t="inlineStr"/>
      <c r="F18" s="62" t="inlineStr"/>
      <c r="G18" s="63" t="inlineStr"/>
      <c r="H18" s="66" t="inlineStr"/>
      <c r="I18" s="62" t="inlineStr"/>
      <c r="J18" s="62" t="inlineStr"/>
      <c r="K18" s="62" t="inlineStr"/>
      <c r="L18" s="62" t="inlineStr"/>
      <c r="M18" s="66" t="inlineStr"/>
      <c r="N18" s="72" t="n">
        <v>0.25</v>
      </c>
      <c r="O18" s="73">
        <f>IFERROR(IF(M18&gt;0,M18*(1+N18),""),"")</f>
        <v/>
      </c>
      <c r="P18" s="63" t="inlineStr"/>
    </row>
    <row r="19" ht="30" customHeight="1">
      <c r="A19" s="74">
        <f>IFERROR(IF(B19&lt;&gt;"","SQ-"&amp;TEXT(ROUNDUP((ROW()-4)/4,0),"000"),""),"")</f>
        <v/>
      </c>
      <c r="B19" s="62" t="inlineStr"/>
      <c r="C19" s="63" t="inlineStr"/>
      <c r="D19" s="63" t="inlineStr"/>
      <c r="E19" s="63" t="inlineStr"/>
      <c r="F19" s="62" t="inlineStr"/>
      <c r="G19" s="63" t="inlineStr"/>
      <c r="H19" s="66" t="inlineStr"/>
      <c r="I19" s="62" t="inlineStr"/>
      <c r="J19" s="62" t="inlineStr"/>
      <c r="K19" s="62" t="inlineStr"/>
      <c r="L19" s="62" t="inlineStr"/>
      <c r="M19" s="66" t="inlineStr"/>
      <c r="N19" s="72" t="n">
        <v>0.25</v>
      </c>
      <c r="O19" s="73">
        <f>IFERROR(IF(M19&gt;0,M19*(1+N19),""),"")</f>
        <v/>
      </c>
      <c r="P19" s="63" t="inlineStr"/>
    </row>
    <row r="20" ht="30" customHeight="1">
      <c r="A20" s="74">
        <f>IFERROR(IF(B20&lt;&gt;"","SQ-"&amp;TEXT(ROUNDUP((ROW()-4)/4,0),"000"),""),"")</f>
        <v/>
      </c>
      <c r="B20" s="62" t="inlineStr"/>
      <c r="C20" s="63" t="inlineStr"/>
      <c r="D20" s="63" t="inlineStr"/>
      <c r="E20" s="63" t="inlineStr"/>
      <c r="F20" s="62" t="inlineStr"/>
      <c r="G20" s="63" t="inlineStr"/>
      <c r="H20" s="66" t="inlineStr"/>
      <c r="I20" s="62" t="inlineStr"/>
      <c r="J20" s="62" t="inlineStr"/>
      <c r="K20" s="62" t="inlineStr"/>
      <c r="L20" s="62" t="inlineStr"/>
      <c r="M20" s="66" t="inlineStr"/>
      <c r="N20" s="72" t="n">
        <v>0.25</v>
      </c>
      <c r="O20" s="73">
        <f>IFERROR(IF(M20&gt;0,M20*(1+N20),""),"")</f>
        <v/>
      </c>
      <c r="P20" s="63" t="inlineStr"/>
    </row>
    <row r="21" ht="30" customHeight="1">
      <c r="A21" s="68">
        <f>IFERROR(IF(B21&lt;&gt;"","SQ-"&amp;TEXT(ROUNDUP((ROW()-4)/4,0),"000"),""),"")</f>
        <v/>
      </c>
      <c r="B21" s="69" t="inlineStr"/>
      <c r="C21" s="70" t="inlineStr"/>
      <c r="D21" s="70" t="inlineStr"/>
      <c r="E21" s="70" t="inlineStr"/>
      <c r="F21" s="69" t="inlineStr"/>
      <c r="G21" s="70" t="inlineStr"/>
      <c r="H21" s="71" t="inlineStr"/>
      <c r="I21" s="69" t="inlineStr"/>
      <c r="J21" s="69" t="inlineStr"/>
      <c r="K21" s="69" t="inlineStr"/>
      <c r="L21" s="69" t="inlineStr"/>
      <c r="M21" s="71" t="inlineStr"/>
      <c r="N21" s="72" t="n">
        <v>0.25</v>
      </c>
      <c r="O21" s="73">
        <f>IFERROR(IF(M21&gt;0,M21*(1+N21),""),"")</f>
        <v/>
      </c>
      <c r="P21" s="70" t="inlineStr"/>
    </row>
    <row r="22" ht="30" customHeight="1">
      <c r="A22" s="68">
        <f>IFERROR(IF(B22&lt;&gt;"","SQ-"&amp;TEXT(ROUNDUP((ROW()-4)/4,0),"000"),""),"")</f>
        <v/>
      </c>
      <c r="B22" s="69" t="inlineStr"/>
      <c r="C22" s="70" t="inlineStr"/>
      <c r="D22" s="70" t="inlineStr"/>
      <c r="E22" s="70" t="inlineStr"/>
      <c r="F22" s="69" t="inlineStr"/>
      <c r="G22" s="70" t="inlineStr"/>
      <c r="H22" s="71" t="inlineStr"/>
      <c r="I22" s="69" t="inlineStr"/>
      <c r="J22" s="69" t="inlineStr"/>
      <c r="K22" s="69" t="inlineStr"/>
      <c r="L22" s="69" t="inlineStr"/>
      <c r="M22" s="71" t="inlineStr"/>
      <c r="N22" s="72" t="n">
        <v>0.25</v>
      </c>
      <c r="O22" s="73">
        <f>IFERROR(IF(M22&gt;0,M22*(1+N22),""),"")</f>
        <v/>
      </c>
      <c r="P22" s="70" t="inlineStr"/>
    </row>
    <row r="23" ht="30" customHeight="1">
      <c r="A23" s="68">
        <f>IFERROR(IF(B23&lt;&gt;"","SQ-"&amp;TEXT(ROUNDUP((ROW()-4)/4,0),"000"),""),"")</f>
        <v/>
      </c>
      <c r="B23" s="69" t="inlineStr"/>
      <c r="C23" s="70" t="inlineStr"/>
      <c r="D23" s="70" t="inlineStr"/>
      <c r="E23" s="70" t="inlineStr"/>
      <c r="F23" s="69" t="inlineStr"/>
      <c r="G23" s="70" t="inlineStr"/>
      <c r="H23" s="71" t="inlineStr"/>
      <c r="I23" s="69" t="inlineStr"/>
      <c r="J23" s="69" t="inlineStr"/>
      <c r="K23" s="69" t="inlineStr"/>
      <c r="L23" s="69" t="inlineStr"/>
      <c r="M23" s="71" t="inlineStr"/>
      <c r="N23" s="72" t="n">
        <v>0.25</v>
      </c>
      <c r="O23" s="73">
        <f>IFERROR(IF(M23&gt;0,M23*(1+N23),""),"")</f>
        <v/>
      </c>
      <c r="P23" s="70" t="inlineStr"/>
    </row>
    <row r="24" ht="30" customHeight="1">
      <c r="A24" s="68">
        <f>IFERROR(IF(B24&lt;&gt;"","SQ-"&amp;TEXT(ROUNDUP((ROW()-4)/4,0),"000"),""),"")</f>
        <v/>
      </c>
      <c r="B24" s="69" t="inlineStr"/>
      <c r="C24" s="70" t="inlineStr"/>
      <c r="D24" s="70" t="inlineStr"/>
      <c r="E24" s="70" t="inlineStr"/>
      <c r="F24" s="69" t="inlineStr"/>
      <c r="G24" s="70" t="inlineStr"/>
      <c r="H24" s="71" t="inlineStr"/>
      <c r="I24" s="69" t="inlineStr"/>
      <c r="J24" s="69" t="inlineStr"/>
      <c r="K24" s="69" t="inlineStr"/>
      <c r="L24" s="69" t="inlineStr"/>
      <c r="M24" s="71" t="inlineStr"/>
      <c r="N24" s="72" t="n">
        <v>0.25</v>
      </c>
      <c r="O24" s="73">
        <f>IFERROR(IF(M24&gt;0,M24*(1+N24),""),"")</f>
        <v/>
      </c>
      <c r="P24" s="70" t="inlineStr"/>
    </row>
    <row r="25" ht="30" customHeight="1">
      <c r="A25" s="74">
        <f>IFERROR(IF(B25&lt;&gt;"","SQ-"&amp;TEXT(ROUNDUP((ROW()-4)/4,0),"000"),""),"")</f>
        <v/>
      </c>
      <c r="B25" s="62" t="inlineStr"/>
      <c r="C25" s="63" t="inlineStr"/>
      <c r="D25" s="63" t="inlineStr"/>
      <c r="E25" s="63" t="inlineStr"/>
      <c r="F25" s="62" t="inlineStr"/>
      <c r="G25" s="63" t="inlineStr"/>
      <c r="H25" s="66" t="inlineStr"/>
      <c r="I25" s="62" t="inlineStr"/>
      <c r="J25" s="62" t="inlineStr"/>
      <c r="K25" s="62" t="inlineStr"/>
      <c r="L25" s="62" t="inlineStr"/>
      <c r="M25" s="66" t="inlineStr"/>
      <c r="N25" s="72" t="n">
        <v>0.25</v>
      </c>
      <c r="O25" s="73">
        <f>IFERROR(IF(M25&gt;0,M25*(1+N25),""),"")</f>
        <v/>
      </c>
      <c r="P25" s="63" t="inlineStr"/>
    </row>
    <row r="26" ht="30" customHeight="1">
      <c r="A26" s="74">
        <f>IFERROR(IF(B26&lt;&gt;"","SQ-"&amp;TEXT(ROUNDUP((ROW()-4)/4,0),"000"),""),"")</f>
        <v/>
      </c>
      <c r="B26" s="62" t="inlineStr"/>
      <c r="C26" s="63" t="inlineStr"/>
      <c r="D26" s="63" t="inlineStr"/>
      <c r="E26" s="63" t="inlineStr"/>
      <c r="F26" s="62" t="inlineStr"/>
      <c r="G26" s="63" t="inlineStr"/>
      <c r="H26" s="66" t="inlineStr"/>
      <c r="I26" s="62" t="inlineStr"/>
      <c r="J26" s="62" t="inlineStr"/>
      <c r="K26" s="62" t="inlineStr"/>
      <c r="L26" s="62" t="inlineStr"/>
      <c r="M26" s="66" t="inlineStr"/>
      <c r="N26" s="72" t="n">
        <v>0.25</v>
      </c>
      <c r="O26" s="73">
        <f>IFERROR(IF(M26&gt;0,M26*(1+N26),""),"")</f>
        <v/>
      </c>
      <c r="P26" s="63" t="inlineStr"/>
    </row>
    <row r="27" ht="30" customHeight="1">
      <c r="A27" s="74">
        <f>IFERROR(IF(B27&lt;&gt;"","SQ-"&amp;TEXT(ROUNDUP((ROW()-4)/4,0),"000"),""),"")</f>
        <v/>
      </c>
      <c r="B27" s="62" t="inlineStr"/>
      <c r="C27" s="63" t="inlineStr"/>
      <c r="D27" s="63" t="inlineStr"/>
      <c r="E27" s="63" t="inlineStr"/>
      <c r="F27" s="62" t="inlineStr"/>
      <c r="G27" s="63" t="inlineStr"/>
      <c r="H27" s="66" t="inlineStr"/>
      <c r="I27" s="62" t="inlineStr"/>
      <c r="J27" s="62" t="inlineStr"/>
      <c r="K27" s="62" t="inlineStr"/>
      <c r="L27" s="62" t="inlineStr"/>
      <c r="M27" s="66" t="inlineStr"/>
      <c r="N27" s="72" t="n">
        <v>0.25</v>
      </c>
      <c r="O27" s="73">
        <f>IFERROR(IF(M27&gt;0,M27*(1+N27),""),"")</f>
        <v/>
      </c>
      <c r="P27" s="63" t="inlineStr"/>
    </row>
    <row r="28" ht="30" customHeight="1">
      <c r="A28" s="74">
        <f>IFERROR(IF(B28&lt;&gt;"","SQ-"&amp;TEXT(ROUNDUP((ROW()-4)/4,0),"000"),""),"")</f>
        <v/>
      </c>
      <c r="B28" s="62" t="inlineStr"/>
      <c r="C28" s="63" t="inlineStr"/>
      <c r="D28" s="63" t="inlineStr"/>
      <c r="E28" s="63" t="inlineStr"/>
      <c r="F28" s="62" t="inlineStr"/>
      <c r="G28" s="63" t="inlineStr"/>
      <c r="H28" s="66" t="inlineStr"/>
      <c r="I28" s="62" t="inlineStr"/>
      <c r="J28" s="62" t="inlineStr"/>
      <c r="K28" s="62" t="inlineStr"/>
      <c r="L28" s="62" t="inlineStr"/>
      <c r="M28" s="66" t="inlineStr"/>
      <c r="N28" s="72" t="n">
        <v>0.25</v>
      </c>
      <c r="O28" s="73">
        <f>IFERROR(IF(M28&gt;0,M28*(1+N28),""),"")</f>
        <v/>
      </c>
      <c r="P28" s="63" t="inlineStr"/>
    </row>
    <row r="29" ht="30" customHeight="1">
      <c r="A29" s="68">
        <f>IFERROR(IF(B29&lt;&gt;"","SQ-"&amp;TEXT(ROUNDUP((ROW()-4)/4,0),"000"),""),"")</f>
        <v/>
      </c>
      <c r="B29" s="69" t="inlineStr"/>
      <c r="C29" s="70" t="inlineStr"/>
      <c r="D29" s="70" t="inlineStr"/>
      <c r="E29" s="70" t="inlineStr"/>
      <c r="F29" s="69" t="inlineStr"/>
      <c r="G29" s="70" t="inlineStr"/>
      <c r="H29" s="71" t="inlineStr"/>
      <c r="I29" s="69" t="inlineStr"/>
      <c r="J29" s="69" t="inlineStr"/>
      <c r="K29" s="69" t="inlineStr"/>
      <c r="L29" s="69" t="inlineStr"/>
      <c r="M29" s="71" t="inlineStr"/>
      <c r="N29" s="72" t="n">
        <v>0.25</v>
      </c>
      <c r="O29" s="73">
        <f>IFERROR(IF(M29&gt;0,M29*(1+N29),""),"")</f>
        <v/>
      </c>
      <c r="P29" s="70" t="inlineStr"/>
    </row>
    <row r="30" ht="30" customHeight="1">
      <c r="A30" s="68">
        <f>IFERROR(IF(B30&lt;&gt;"","SQ-"&amp;TEXT(ROUNDUP((ROW()-4)/4,0),"000"),""),"")</f>
        <v/>
      </c>
      <c r="B30" s="69" t="inlineStr"/>
      <c r="C30" s="70" t="inlineStr"/>
      <c r="D30" s="70" t="inlineStr"/>
      <c r="E30" s="70" t="inlineStr"/>
      <c r="F30" s="69" t="inlineStr"/>
      <c r="G30" s="70" t="inlineStr"/>
      <c r="H30" s="71" t="inlineStr"/>
      <c r="I30" s="69" t="inlineStr"/>
      <c r="J30" s="69" t="inlineStr"/>
      <c r="K30" s="69" t="inlineStr"/>
      <c r="L30" s="69" t="inlineStr"/>
      <c r="M30" s="71" t="inlineStr"/>
      <c r="N30" s="72" t="n">
        <v>0.25</v>
      </c>
      <c r="O30" s="73">
        <f>IFERROR(IF(M30&gt;0,M30*(1+N30),""),"")</f>
        <v/>
      </c>
      <c r="P30" s="70" t="inlineStr"/>
    </row>
    <row r="31" ht="30" customHeight="1">
      <c r="A31" s="68">
        <f>IFERROR(IF(B31&lt;&gt;"","SQ-"&amp;TEXT(ROUNDUP((ROW()-4)/4,0),"000"),""),"")</f>
        <v/>
      </c>
      <c r="B31" s="69" t="inlineStr"/>
      <c r="C31" s="70" t="inlineStr"/>
      <c r="D31" s="70" t="inlineStr"/>
      <c r="E31" s="70" t="inlineStr"/>
      <c r="F31" s="69" t="inlineStr"/>
      <c r="G31" s="70" t="inlineStr"/>
      <c r="H31" s="71" t="inlineStr"/>
      <c r="I31" s="69" t="inlineStr"/>
      <c r="J31" s="69" t="inlineStr"/>
      <c r="K31" s="69" t="inlineStr"/>
      <c r="L31" s="69" t="inlineStr"/>
      <c r="M31" s="71" t="inlineStr"/>
      <c r="N31" s="72" t="n">
        <v>0.25</v>
      </c>
      <c r="O31" s="73">
        <f>IFERROR(IF(M31&gt;0,M31*(1+N31),""),"")</f>
        <v/>
      </c>
      <c r="P31" s="70" t="inlineStr"/>
    </row>
    <row r="32" ht="30" customHeight="1">
      <c r="A32" s="68">
        <f>IFERROR(IF(B32&lt;&gt;"","SQ-"&amp;TEXT(ROUNDUP((ROW()-4)/4,0),"000"),""),"")</f>
        <v/>
      </c>
      <c r="B32" s="69" t="inlineStr"/>
      <c r="C32" s="70" t="inlineStr"/>
      <c r="D32" s="70" t="inlineStr"/>
      <c r="E32" s="70" t="inlineStr"/>
      <c r="F32" s="69" t="inlineStr"/>
      <c r="G32" s="70" t="inlineStr"/>
      <c r="H32" s="71" t="inlineStr"/>
      <c r="I32" s="69" t="inlineStr"/>
      <c r="J32" s="69" t="inlineStr"/>
      <c r="K32" s="69" t="inlineStr"/>
      <c r="L32" s="69" t="inlineStr"/>
      <c r="M32" s="71" t="inlineStr"/>
      <c r="N32" s="72" t="n">
        <v>0.25</v>
      </c>
      <c r="O32" s="73">
        <f>IFERROR(IF(M32&gt;0,M32*(1+N32),""),"")</f>
        <v/>
      </c>
      <c r="P32" s="70" t="inlineStr"/>
    </row>
    <row r="33" ht="30" customHeight="1">
      <c r="A33" s="74">
        <f>IFERROR(IF(B33&lt;&gt;"","SQ-"&amp;TEXT(ROUNDUP((ROW()-4)/4,0),"000"),""),"")</f>
        <v/>
      </c>
      <c r="B33" s="62" t="inlineStr"/>
      <c r="C33" s="63" t="inlineStr"/>
      <c r="D33" s="63" t="inlineStr"/>
      <c r="E33" s="63" t="inlineStr"/>
      <c r="F33" s="62" t="inlineStr"/>
      <c r="G33" s="63" t="inlineStr"/>
      <c r="H33" s="66" t="inlineStr"/>
      <c r="I33" s="62" t="inlineStr"/>
      <c r="J33" s="62" t="inlineStr"/>
      <c r="K33" s="62" t="inlineStr"/>
      <c r="L33" s="62" t="inlineStr"/>
      <c r="M33" s="66" t="inlineStr"/>
      <c r="N33" s="72" t="n">
        <v>0.25</v>
      </c>
      <c r="O33" s="73">
        <f>IFERROR(IF(M33&gt;0,M33*(1+N33),""),"")</f>
        <v/>
      </c>
      <c r="P33" s="63" t="inlineStr"/>
    </row>
    <row r="34" ht="30" customHeight="1">
      <c r="A34" s="74">
        <f>IFERROR(IF(B34&lt;&gt;"","SQ-"&amp;TEXT(ROUNDUP((ROW()-4)/4,0),"000"),""),"")</f>
        <v/>
      </c>
      <c r="B34" s="62" t="inlineStr"/>
      <c r="C34" s="63" t="inlineStr"/>
      <c r="D34" s="63" t="inlineStr"/>
      <c r="E34" s="63" t="inlineStr"/>
      <c r="F34" s="62" t="inlineStr"/>
      <c r="G34" s="63" t="inlineStr"/>
      <c r="H34" s="66" t="inlineStr"/>
      <c r="I34" s="62" t="inlineStr"/>
      <c r="J34" s="62" t="inlineStr"/>
      <c r="K34" s="62" t="inlineStr"/>
      <c r="L34" s="62" t="inlineStr"/>
      <c r="M34" s="66" t="inlineStr"/>
      <c r="N34" s="72" t="n">
        <v>0.25</v>
      </c>
      <c r="O34" s="73">
        <f>IFERROR(IF(M34&gt;0,M34*(1+N34),""),"")</f>
        <v/>
      </c>
      <c r="P34" s="63" t="inlineStr"/>
    </row>
    <row r="35" ht="30" customHeight="1">
      <c r="A35" s="74">
        <f>IFERROR(IF(B35&lt;&gt;"","SQ-"&amp;TEXT(ROUNDUP((ROW()-4)/4,0),"000"),""),"")</f>
        <v/>
      </c>
      <c r="B35" s="62" t="inlineStr"/>
      <c r="C35" s="63" t="inlineStr"/>
      <c r="D35" s="63" t="inlineStr"/>
      <c r="E35" s="63" t="inlineStr"/>
      <c r="F35" s="62" t="inlineStr"/>
      <c r="G35" s="63" t="inlineStr"/>
      <c r="H35" s="66" t="inlineStr"/>
      <c r="I35" s="62" t="inlineStr"/>
      <c r="J35" s="62" t="inlineStr"/>
      <c r="K35" s="62" t="inlineStr"/>
      <c r="L35" s="62" t="inlineStr"/>
      <c r="M35" s="66" t="inlineStr"/>
      <c r="N35" s="72" t="n">
        <v>0.25</v>
      </c>
      <c r="O35" s="73">
        <f>IFERROR(IF(M35&gt;0,M35*(1+N35),""),"")</f>
        <v/>
      </c>
      <c r="P35" s="63" t="inlineStr"/>
    </row>
    <row r="36" ht="30" customHeight="1">
      <c r="A36" s="74">
        <f>IFERROR(IF(B36&lt;&gt;"","SQ-"&amp;TEXT(ROUNDUP((ROW()-4)/4,0),"000"),""),"")</f>
        <v/>
      </c>
      <c r="B36" s="62" t="inlineStr"/>
      <c r="C36" s="63" t="inlineStr"/>
      <c r="D36" s="63" t="inlineStr"/>
      <c r="E36" s="63" t="inlineStr"/>
      <c r="F36" s="62" t="inlineStr"/>
      <c r="G36" s="63" t="inlineStr"/>
      <c r="H36" s="66" t="inlineStr"/>
      <c r="I36" s="62" t="inlineStr"/>
      <c r="J36" s="62" t="inlineStr"/>
      <c r="K36" s="62" t="inlineStr"/>
      <c r="L36" s="62" t="inlineStr"/>
      <c r="M36" s="66" t="inlineStr"/>
      <c r="N36" s="72" t="n">
        <v>0.25</v>
      </c>
      <c r="O36" s="73">
        <f>IFERROR(IF(M36&gt;0,M36*(1+N36),""),"")</f>
        <v/>
      </c>
      <c r="P36" s="63" t="inlineStr"/>
    </row>
    <row r="37" ht="30" customHeight="1">
      <c r="A37" s="68">
        <f>IFERROR(IF(B37&lt;&gt;"","SQ-"&amp;TEXT(ROUNDUP((ROW()-4)/4,0),"000"),""),"")</f>
        <v/>
      </c>
      <c r="B37" s="69" t="inlineStr"/>
      <c r="C37" s="70" t="inlineStr"/>
      <c r="D37" s="70" t="inlineStr"/>
      <c r="E37" s="70" t="inlineStr"/>
      <c r="F37" s="69" t="inlineStr"/>
      <c r="G37" s="70" t="inlineStr"/>
      <c r="H37" s="71" t="inlineStr"/>
      <c r="I37" s="69" t="inlineStr"/>
      <c r="J37" s="69" t="inlineStr"/>
      <c r="K37" s="69" t="inlineStr"/>
      <c r="L37" s="69" t="inlineStr"/>
      <c r="M37" s="71" t="inlineStr"/>
      <c r="N37" s="72" t="n">
        <v>0.25</v>
      </c>
      <c r="O37" s="73">
        <f>IFERROR(IF(M37&gt;0,M37*(1+N37),""),"")</f>
        <v/>
      </c>
      <c r="P37" s="70" t="inlineStr"/>
    </row>
    <row r="38" ht="30" customHeight="1">
      <c r="A38" s="68">
        <f>IFERROR(IF(B38&lt;&gt;"","SQ-"&amp;TEXT(ROUNDUP((ROW()-4)/4,0),"000"),""),"")</f>
        <v/>
      </c>
      <c r="B38" s="69" t="inlineStr"/>
      <c r="C38" s="70" t="inlineStr"/>
      <c r="D38" s="70" t="inlineStr"/>
      <c r="E38" s="70" t="inlineStr"/>
      <c r="F38" s="69" t="inlineStr"/>
      <c r="G38" s="70" t="inlineStr"/>
      <c r="H38" s="71" t="inlineStr"/>
      <c r="I38" s="69" t="inlineStr"/>
      <c r="J38" s="69" t="inlineStr"/>
      <c r="K38" s="69" t="inlineStr"/>
      <c r="L38" s="69" t="inlineStr"/>
      <c r="M38" s="71" t="inlineStr"/>
      <c r="N38" s="72" t="n">
        <v>0.25</v>
      </c>
      <c r="O38" s="73">
        <f>IFERROR(IF(M38&gt;0,M38*(1+N38),""),"")</f>
        <v/>
      </c>
      <c r="P38" s="70" t="inlineStr"/>
    </row>
    <row r="39" ht="30" customHeight="1">
      <c r="A39" s="68">
        <f>IFERROR(IF(B39&lt;&gt;"","SQ-"&amp;TEXT(ROUNDUP((ROW()-4)/4,0),"000"),""),"")</f>
        <v/>
      </c>
      <c r="B39" s="69" t="inlineStr"/>
      <c r="C39" s="70" t="inlineStr"/>
      <c r="D39" s="70" t="inlineStr"/>
      <c r="E39" s="70" t="inlineStr"/>
      <c r="F39" s="69" t="inlineStr"/>
      <c r="G39" s="70" t="inlineStr"/>
      <c r="H39" s="71" t="inlineStr"/>
      <c r="I39" s="69" t="inlineStr"/>
      <c r="J39" s="69" t="inlineStr"/>
      <c r="K39" s="69" t="inlineStr"/>
      <c r="L39" s="69" t="inlineStr"/>
      <c r="M39" s="71" t="inlineStr"/>
      <c r="N39" s="72" t="n">
        <v>0.25</v>
      </c>
      <c r="O39" s="73">
        <f>IFERROR(IF(M39&gt;0,M39*(1+N39),""),"")</f>
        <v/>
      </c>
      <c r="P39" s="70" t="inlineStr"/>
    </row>
    <row r="40" ht="30" customHeight="1">
      <c r="A40" s="68">
        <f>IFERROR(IF(B40&lt;&gt;"","SQ-"&amp;TEXT(ROUNDUP((ROW()-4)/4,0),"000"),""),"")</f>
        <v/>
      </c>
      <c r="B40" s="69" t="inlineStr"/>
      <c r="C40" s="70" t="inlineStr"/>
      <c r="D40" s="70" t="inlineStr"/>
      <c r="E40" s="70" t="inlineStr"/>
      <c r="F40" s="69" t="inlineStr"/>
      <c r="G40" s="70" t="inlineStr"/>
      <c r="H40" s="71" t="inlineStr"/>
      <c r="I40" s="69" t="inlineStr"/>
      <c r="J40" s="69" t="inlineStr"/>
      <c r="K40" s="69" t="inlineStr"/>
      <c r="L40" s="69" t="inlineStr"/>
      <c r="M40" s="71" t="inlineStr"/>
      <c r="N40" s="72" t="n">
        <v>0.25</v>
      </c>
      <c r="O40" s="73">
        <f>IFERROR(IF(M40&gt;0,M40*(1+N40),""),"")</f>
        <v/>
      </c>
      <c r="P40" s="70" t="inlineStr"/>
    </row>
    <row r="41" ht="30" customHeight="1">
      <c r="A41" s="74">
        <f>IFERROR(IF(B41&lt;&gt;"","SQ-"&amp;TEXT(ROUNDUP((ROW()-4)/4,0),"000"),""),"")</f>
        <v/>
      </c>
      <c r="B41" s="62" t="inlineStr"/>
      <c r="C41" s="63" t="inlineStr"/>
      <c r="D41" s="63" t="inlineStr"/>
      <c r="E41" s="63" t="inlineStr"/>
      <c r="F41" s="62" t="inlineStr"/>
      <c r="G41" s="63" t="inlineStr"/>
      <c r="H41" s="66" t="inlineStr"/>
      <c r="I41" s="62" t="inlineStr"/>
      <c r="J41" s="62" t="inlineStr"/>
      <c r="K41" s="62" t="inlineStr"/>
      <c r="L41" s="62" t="inlineStr"/>
      <c r="M41" s="66" t="inlineStr"/>
      <c r="N41" s="72" t="n">
        <v>0.25</v>
      </c>
      <c r="O41" s="73">
        <f>IFERROR(IF(M41&gt;0,M41*(1+N41),""),"")</f>
        <v/>
      </c>
      <c r="P41" s="63" t="inlineStr"/>
    </row>
    <row r="42" ht="30" customHeight="1">
      <c r="A42" s="74">
        <f>IFERROR(IF(B42&lt;&gt;"","SQ-"&amp;TEXT(ROUNDUP((ROW()-4)/4,0),"000"),""),"")</f>
        <v/>
      </c>
      <c r="B42" s="62" t="inlineStr"/>
      <c r="C42" s="63" t="inlineStr"/>
      <c r="D42" s="63" t="inlineStr"/>
      <c r="E42" s="63" t="inlineStr"/>
      <c r="F42" s="62" t="inlineStr"/>
      <c r="G42" s="63" t="inlineStr"/>
      <c r="H42" s="66" t="inlineStr"/>
      <c r="I42" s="62" t="inlineStr"/>
      <c r="J42" s="62" t="inlineStr"/>
      <c r="K42" s="62" t="inlineStr"/>
      <c r="L42" s="62" t="inlineStr"/>
      <c r="M42" s="66" t="inlineStr"/>
      <c r="N42" s="72" t="n">
        <v>0.25</v>
      </c>
      <c r="O42" s="73">
        <f>IFERROR(IF(M42&gt;0,M42*(1+N42),""),"")</f>
        <v/>
      </c>
      <c r="P42" s="63" t="inlineStr"/>
    </row>
    <row r="43" ht="30" customHeight="1">
      <c r="A43" s="74">
        <f>IFERROR(IF(B43&lt;&gt;"","SQ-"&amp;TEXT(ROUNDUP((ROW()-4)/4,0),"000"),""),"")</f>
        <v/>
      </c>
      <c r="B43" s="62" t="inlineStr"/>
      <c r="C43" s="63" t="inlineStr"/>
      <c r="D43" s="63" t="inlineStr"/>
      <c r="E43" s="63" t="inlineStr"/>
      <c r="F43" s="62" t="inlineStr"/>
      <c r="G43" s="63" t="inlineStr"/>
      <c r="H43" s="66" t="inlineStr"/>
      <c r="I43" s="62" t="inlineStr"/>
      <c r="J43" s="62" t="inlineStr"/>
      <c r="K43" s="62" t="inlineStr"/>
      <c r="L43" s="62" t="inlineStr"/>
      <c r="M43" s="66" t="inlineStr"/>
      <c r="N43" s="72" t="n">
        <v>0.25</v>
      </c>
      <c r="O43" s="73">
        <f>IFERROR(IF(M43&gt;0,M43*(1+N43),""),"")</f>
        <v/>
      </c>
      <c r="P43" s="63" t="inlineStr"/>
    </row>
    <row r="44" ht="30" customHeight="1">
      <c r="A44" s="74">
        <f>IFERROR(IF(B44&lt;&gt;"","SQ-"&amp;TEXT(ROUNDUP((ROW()-4)/4,0),"000"),""),"")</f>
        <v/>
      </c>
      <c r="B44" s="62" t="inlineStr"/>
      <c r="C44" s="63" t="inlineStr"/>
      <c r="D44" s="63" t="inlineStr"/>
      <c r="E44" s="63" t="inlineStr"/>
      <c r="F44" s="62" t="inlineStr"/>
      <c r="G44" s="63" t="inlineStr"/>
      <c r="H44" s="66" t="inlineStr"/>
      <c r="I44" s="62" t="inlineStr"/>
      <c r="J44" s="62" t="inlineStr"/>
      <c r="K44" s="62" t="inlineStr"/>
      <c r="L44" s="62" t="inlineStr"/>
      <c r="M44" s="66" t="inlineStr"/>
      <c r="N44" s="72" t="n">
        <v>0.25</v>
      </c>
      <c r="O44" s="73">
        <f>IFERROR(IF(M44&gt;0,M44*(1+N44),""),"")</f>
        <v/>
      </c>
      <c r="P44" s="63" t="inlineStr"/>
    </row>
    <row r="45" ht="30" customHeight="1">
      <c r="A45" s="68">
        <f>IFERROR(IF(B45&lt;&gt;"","SQ-"&amp;TEXT(ROUNDUP((ROW()-4)/4,0),"000"),""),"")</f>
        <v/>
      </c>
      <c r="B45" s="69" t="inlineStr"/>
      <c r="C45" s="70" t="inlineStr"/>
      <c r="D45" s="70" t="inlineStr"/>
      <c r="E45" s="70" t="inlineStr"/>
      <c r="F45" s="69" t="inlineStr"/>
      <c r="G45" s="70" t="inlineStr"/>
      <c r="H45" s="71" t="inlineStr"/>
      <c r="I45" s="69" t="inlineStr"/>
      <c r="J45" s="69" t="inlineStr"/>
      <c r="K45" s="69" t="inlineStr"/>
      <c r="L45" s="69" t="inlineStr"/>
      <c r="M45" s="71" t="inlineStr"/>
      <c r="N45" s="72" t="n">
        <v>0.25</v>
      </c>
      <c r="O45" s="73">
        <f>IFERROR(IF(M45&gt;0,M45*(1+N45),""),"")</f>
        <v/>
      </c>
      <c r="P45" s="70" t="inlineStr"/>
    </row>
    <row r="46" ht="30" customHeight="1">
      <c r="A46" s="68">
        <f>IFERROR(IF(B46&lt;&gt;"","SQ-"&amp;TEXT(ROUNDUP((ROW()-4)/4,0),"000"),""),"")</f>
        <v/>
      </c>
      <c r="B46" s="69" t="inlineStr"/>
      <c r="C46" s="70" t="inlineStr"/>
      <c r="D46" s="70" t="inlineStr"/>
      <c r="E46" s="70" t="inlineStr"/>
      <c r="F46" s="69" t="inlineStr"/>
      <c r="G46" s="70" t="inlineStr"/>
      <c r="H46" s="71" t="inlineStr"/>
      <c r="I46" s="69" t="inlineStr"/>
      <c r="J46" s="69" t="inlineStr"/>
      <c r="K46" s="69" t="inlineStr"/>
      <c r="L46" s="69" t="inlineStr"/>
      <c r="M46" s="71" t="inlineStr"/>
      <c r="N46" s="72" t="n">
        <v>0.25</v>
      </c>
      <c r="O46" s="73">
        <f>IFERROR(IF(M46&gt;0,M46*(1+N46),""),"")</f>
        <v/>
      </c>
      <c r="P46" s="70" t="inlineStr"/>
    </row>
    <row r="47" ht="30" customHeight="1">
      <c r="A47" s="68">
        <f>IFERROR(IF(B47&lt;&gt;"","SQ-"&amp;TEXT(ROUNDUP((ROW()-4)/4,0),"000"),""),"")</f>
        <v/>
      </c>
      <c r="B47" s="69" t="inlineStr"/>
      <c r="C47" s="70" t="inlineStr"/>
      <c r="D47" s="70" t="inlineStr"/>
      <c r="E47" s="70" t="inlineStr"/>
      <c r="F47" s="69" t="inlineStr"/>
      <c r="G47" s="70" t="inlineStr"/>
      <c r="H47" s="71" t="inlineStr"/>
      <c r="I47" s="69" t="inlineStr"/>
      <c r="J47" s="69" t="inlineStr"/>
      <c r="K47" s="69" t="inlineStr"/>
      <c r="L47" s="69" t="inlineStr"/>
      <c r="M47" s="71" t="inlineStr"/>
      <c r="N47" s="72" t="n">
        <v>0.25</v>
      </c>
      <c r="O47" s="73">
        <f>IFERROR(IF(M47&gt;0,M47*(1+N47),""),"")</f>
        <v/>
      </c>
      <c r="P47" s="70" t="inlineStr"/>
    </row>
    <row r="48" ht="30" customHeight="1">
      <c r="A48" s="68">
        <f>IFERROR(IF(B48&lt;&gt;"","SQ-"&amp;TEXT(ROUNDUP((ROW()-4)/4,0),"000"),""),"")</f>
        <v/>
      </c>
      <c r="B48" s="69" t="inlineStr"/>
      <c r="C48" s="70" t="inlineStr"/>
      <c r="D48" s="70" t="inlineStr"/>
      <c r="E48" s="70" t="inlineStr"/>
      <c r="F48" s="69" t="inlineStr"/>
      <c r="G48" s="70" t="inlineStr"/>
      <c r="H48" s="71" t="inlineStr"/>
      <c r="I48" s="69" t="inlineStr"/>
      <c r="J48" s="69" t="inlineStr"/>
      <c r="K48" s="69" t="inlineStr"/>
      <c r="L48" s="69" t="inlineStr"/>
      <c r="M48" s="71" t="inlineStr"/>
      <c r="N48" s="72" t="n">
        <v>0.25</v>
      </c>
      <c r="O48" s="73">
        <f>IFERROR(IF(M48&gt;0,M48*(1+N48),""),"")</f>
        <v/>
      </c>
      <c r="P48" s="70" t="inlineStr"/>
    </row>
    <row r="49" ht="30" customHeight="1">
      <c r="A49" s="74">
        <f>IFERROR(IF(B49&lt;&gt;"","SQ-"&amp;TEXT(ROUNDUP((ROW()-4)/4,0),"000"),""),"")</f>
        <v/>
      </c>
      <c r="B49" s="62" t="inlineStr"/>
      <c r="C49" s="63" t="inlineStr"/>
      <c r="D49" s="63" t="inlineStr"/>
      <c r="E49" s="63" t="inlineStr"/>
      <c r="F49" s="62" t="inlineStr"/>
      <c r="G49" s="63" t="inlineStr"/>
      <c r="H49" s="66" t="inlineStr"/>
      <c r="I49" s="62" t="inlineStr"/>
      <c r="J49" s="62" t="inlineStr"/>
      <c r="K49" s="62" t="inlineStr"/>
      <c r="L49" s="62" t="inlineStr"/>
      <c r="M49" s="66" t="inlineStr"/>
      <c r="N49" s="72" t="n">
        <v>0.25</v>
      </c>
      <c r="O49" s="73">
        <f>IFERROR(IF(M49&gt;0,M49*(1+N49),""),"")</f>
        <v/>
      </c>
      <c r="P49" s="63" t="inlineStr"/>
    </row>
    <row r="50" ht="30" customHeight="1">
      <c r="A50" s="74">
        <f>IFERROR(IF(B50&lt;&gt;"","SQ-"&amp;TEXT(ROUNDUP((ROW()-4)/4,0),"000"),""),"")</f>
        <v/>
      </c>
      <c r="B50" s="62" t="inlineStr"/>
      <c r="C50" s="63" t="inlineStr"/>
      <c r="D50" s="63" t="inlineStr"/>
      <c r="E50" s="63" t="inlineStr"/>
      <c r="F50" s="62" t="inlineStr"/>
      <c r="G50" s="63" t="inlineStr"/>
      <c r="H50" s="66" t="inlineStr"/>
      <c r="I50" s="62" t="inlineStr"/>
      <c r="J50" s="62" t="inlineStr"/>
      <c r="K50" s="62" t="inlineStr"/>
      <c r="L50" s="62" t="inlineStr"/>
      <c r="M50" s="66" t="inlineStr"/>
      <c r="N50" s="72" t="n">
        <v>0.25</v>
      </c>
      <c r="O50" s="73">
        <f>IFERROR(IF(M50&gt;0,M50*(1+N50),""),"")</f>
        <v/>
      </c>
      <c r="P50" s="63" t="inlineStr"/>
    </row>
    <row r="51" ht="30" customHeight="1">
      <c r="A51" s="74">
        <f>IFERROR(IF(B51&lt;&gt;"","SQ-"&amp;TEXT(ROUNDUP((ROW()-4)/4,0),"000"),""),"")</f>
        <v/>
      </c>
      <c r="B51" s="62" t="inlineStr"/>
      <c r="C51" s="63" t="inlineStr"/>
      <c r="D51" s="63" t="inlineStr"/>
      <c r="E51" s="63" t="inlineStr"/>
      <c r="F51" s="62" t="inlineStr"/>
      <c r="G51" s="63" t="inlineStr"/>
      <c r="H51" s="66" t="inlineStr"/>
      <c r="I51" s="62" t="inlineStr"/>
      <c r="J51" s="62" t="inlineStr"/>
      <c r="K51" s="62" t="inlineStr"/>
      <c r="L51" s="62" t="inlineStr"/>
      <c r="M51" s="66" t="inlineStr"/>
      <c r="N51" s="72" t="n">
        <v>0.25</v>
      </c>
      <c r="O51" s="73">
        <f>IFERROR(IF(M51&gt;0,M51*(1+N51),""),"")</f>
        <v/>
      </c>
      <c r="P51" s="63" t="inlineStr"/>
    </row>
    <row r="52" ht="30" customHeight="1">
      <c r="A52" s="74">
        <f>IFERROR(IF(B52&lt;&gt;"","SQ-"&amp;TEXT(ROUNDUP((ROW()-4)/4,0),"000"),""),"")</f>
        <v/>
      </c>
      <c r="B52" s="62" t="inlineStr"/>
      <c r="C52" s="63" t="inlineStr"/>
      <c r="D52" s="63" t="inlineStr"/>
      <c r="E52" s="63" t="inlineStr"/>
      <c r="F52" s="62" t="inlineStr"/>
      <c r="G52" s="63" t="inlineStr"/>
      <c r="H52" s="66" t="inlineStr"/>
      <c r="I52" s="62" t="inlineStr"/>
      <c r="J52" s="62" t="inlineStr"/>
      <c r="K52" s="62" t="inlineStr"/>
      <c r="L52" s="62" t="inlineStr"/>
      <c r="M52" s="66" t="inlineStr"/>
      <c r="N52" s="72" t="n">
        <v>0.25</v>
      </c>
      <c r="O52" s="73">
        <f>IFERROR(IF(M52&gt;0,M52*(1+N52),""),"")</f>
        <v/>
      </c>
      <c r="P52" s="63" t="inlineStr"/>
    </row>
    <row r="53" ht="30" customHeight="1">
      <c r="A53" s="68">
        <f>IFERROR(IF(B53&lt;&gt;"","SQ-"&amp;TEXT(ROUNDUP((ROW()-4)/4,0),"000"),""),"")</f>
        <v/>
      </c>
      <c r="B53" s="69" t="inlineStr"/>
      <c r="C53" s="70" t="inlineStr"/>
      <c r="D53" s="70" t="inlineStr"/>
      <c r="E53" s="70" t="inlineStr"/>
      <c r="F53" s="69" t="inlineStr"/>
      <c r="G53" s="70" t="inlineStr"/>
      <c r="H53" s="71" t="inlineStr"/>
      <c r="I53" s="69" t="inlineStr"/>
      <c r="J53" s="69" t="inlineStr"/>
      <c r="K53" s="69" t="inlineStr"/>
      <c r="L53" s="69" t="inlineStr"/>
      <c r="M53" s="71" t="inlineStr"/>
      <c r="N53" s="72" t="n">
        <v>0.25</v>
      </c>
      <c r="O53" s="73">
        <f>IFERROR(IF(M53&gt;0,M53*(1+N53),""),"")</f>
        <v/>
      </c>
      <c r="P53" s="70" t="inlineStr"/>
    </row>
    <row r="54" ht="30" customHeight="1">
      <c r="A54" s="68">
        <f>IFERROR(IF(B54&lt;&gt;"","SQ-"&amp;TEXT(ROUNDUP((ROW()-4)/4,0),"000"),""),"")</f>
        <v/>
      </c>
      <c r="B54" s="69" t="inlineStr"/>
      <c r="C54" s="70" t="inlineStr"/>
      <c r="D54" s="70" t="inlineStr"/>
      <c r="E54" s="70" t="inlineStr"/>
      <c r="F54" s="69" t="inlineStr"/>
      <c r="G54" s="70" t="inlineStr"/>
      <c r="H54" s="71" t="inlineStr"/>
      <c r="I54" s="69" t="inlineStr"/>
      <c r="J54" s="69" t="inlineStr"/>
      <c r="K54" s="69" t="inlineStr"/>
      <c r="L54" s="69" t="inlineStr"/>
      <c r="M54" s="71" t="inlineStr"/>
      <c r="N54" s="72" t="n">
        <v>0.25</v>
      </c>
      <c r="O54" s="73">
        <f>IFERROR(IF(M54&gt;0,M54*(1+N54),""),"")</f>
        <v/>
      </c>
      <c r="P54" s="70" t="inlineStr"/>
    </row>
    <row r="55" ht="30" customHeight="1">
      <c r="A55" s="68">
        <f>IFERROR(IF(B55&lt;&gt;"","SQ-"&amp;TEXT(ROUNDUP((ROW()-4)/4,0),"000"),""),"")</f>
        <v/>
      </c>
      <c r="B55" s="69" t="inlineStr"/>
      <c r="C55" s="70" t="inlineStr"/>
      <c r="D55" s="70" t="inlineStr"/>
      <c r="E55" s="70" t="inlineStr"/>
      <c r="F55" s="69" t="inlineStr"/>
      <c r="G55" s="70" t="inlineStr"/>
      <c r="H55" s="71" t="inlineStr"/>
      <c r="I55" s="69" t="inlineStr"/>
      <c r="J55" s="69" t="inlineStr"/>
      <c r="K55" s="69" t="inlineStr"/>
      <c r="L55" s="69" t="inlineStr"/>
      <c r="M55" s="71" t="inlineStr"/>
      <c r="N55" s="72" t="n">
        <v>0.25</v>
      </c>
      <c r="O55" s="73">
        <f>IFERROR(IF(M55&gt;0,M55*(1+N55),""),"")</f>
        <v/>
      </c>
      <c r="P55" s="70" t="inlineStr"/>
    </row>
    <row r="56" ht="30" customHeight="1">
      <c r="A56" s="68">
        <f>IFERROR(IF(B56&lt;&gt;"","SQ-"&amp;TEXT(ROUNDUP((ROW()-4)/4,0),"000"),""),"")</f>
        <v/>
      </c>
      <c r="B56" s="69" t="inlineStr"/>
      <c r="C56" s="70" t="inlineStr"/>
      <c r="D56" s="70" t="inlineStr"/>
      <c r="E56" s="70" t="inlineStr"/>
      <c r="F56" s="69" t="inlineStr"/>
      <c r="G56" s="70" t="inlineStr"/>
      <c r="H56" s="71" t="inlineStr"/>
      <c r="I56" s="69" t="inlineStr"/>
      <c r="J56" s="69" t="inlineStr"/>
      <c r="K56" s="69" t="inlineStr"/>
      <c r="L56" s="69" t="inlineStr"/>
      <c r="M56" s="71" t="inlineStr"/>
      <c r="N56" s="72" t="n">
        <v>0.25</v>
      </c>
      <c r="O56" s="73">
        <f>IFERROR(IF(M56&gt;0,M56*(1+N56),""),"")</f>
        <v/>
      </c>
      <c r="P56" s="70" t="inlineStr"/>
    </row>
    <row r="57" ht="30" customHeight="1">
      <c r="A57" s="74">
        <f>IFERROR(IF(B57&lt;&gt;"","SQ-"&amp;TEXT(ROUNDUP((ROW()-4)/4,0),"000"),""),"")</f>
        <v/>
      </c>
      <c r="B57" s="62" t="inlineStr"/>
      <c r="C57" s="63" t="inlineStr"/>
      <c r="D57" s="63" t="inlineStr"/>
      <c r="E57" s="63" t="inlineStr"/>
      <c r="F57" s="62" t="inlineStr"/>
      <c r="G57" s="63" t="inlineStr"/>
      <c r="H57" s="66" t="inlineStr"/>
      <c r="I57" s="62" t="inlineStr"/>
      <c r="J57" s="62" t="inlineStr"/>
      <c r="K57" s="62" t="inlineStr"/>
      <c r="L57" s="62" t="inlineStr"/>
      <c r="M57" s="66" t="inlineStr"/>
      <c r="N57" s="72" t="n">
        <v>0.25</v>
      </c>
      <c r="O57" s="73">
        <f>IFERROR(IF(M57&gt;0,M57*(1+N57),""),"")</f>
        <v/>
      </c>
      <c r="P57" s="63" t="inlineStr"/>
    </row>
    <row r="58" ht="30" customHeight="1">
      <c r="A58" s="74">
        <f>IFERROR(IF(B58&lt;&gt;"","SQ-"&amp;TEXT(ROUNDUP((ROW()-4)/4,0),"000"),""),"")</f>
        <v/>
      </c>
      <c r="B58" s="62" t="inlineStr"/>
      <c r="C58" s="63" t="inlineStr"/>
      <c r="D58" s="63" t="inlineStr"/>
      <c r="E58" s="63" t="inlineStr"/>
      <c r="F58" s="62" t="inlineStr"/>
      <c r="G58" s="63" t="inlineStr"/>
      <c r="H58" s="66" t="inlineStr"/>
      <c r="I58" s="62" t="inlineStr"/>
      <c r="J58" s="62" t="inlineStr"/>
      <c r="K58" s="62" t="inlineStr"/>
      <c r="L58" s="62" t="inlineStr"/>
      <c r="M58" s="66" t="inlineStr"/>
      <c r="N58" s="72" t="n">
        <v>0.25</v>
      </c>
      <c r="O58" s="73">
        <f>IFERROR(IF(M58&gt;0,M58*(1+N58),""),"")</f>
        <v/>
      </c>
      <c r="P58" s="63" t="inlineStr"/>
    </row>
    <row r="59" ht="30" customHeight="1">
      <c r="A59" s="74">
        <f>IFERROR(IF(B59&lt;&gt;"","SQ-"&amp;TEXT(ROUNDUP((ROW()-4)/4,0),"000"),""),"")</f>
        <v/>
      </c>
      <c r="B59" s="62" t="inlineStr"/>
      <c r="C59" s="63" t="inlineStr"/>
      <c r="D59" s="63" t="inlineStr"/>
      <c r="E59" s="63" t="inlineStr"/>
      <c r="F59" s="62" t="inlineStr"/>
      <c r="G59" s="63" t="inlineStr"/>
      <c r="H59" s="66" t="inlineStr"/>
      <c r="I59" s="62" t="inlineStr"/>
      <c r="J59" s="62" t="inlineStr"/>
      <c r="K59" s="62" t="inlineStr"/>
      <c r="L59" s="62" t="inlineStr"/>
      <c r="M59" s="66" t="inlineStr"/>
      <c r="N59" s="72" t="n">
        <v>0.25</v>
      </c>
      <c r="O59" s="73">
        <f>IFERROR(IF(M59&gt;0,M59*(1+N59),""),"")</f>
        <v/>
      </c>
      <c r="P59" s="63" t="inlineStr"/>
    </row>
    <row r="60" ht="30" customHeight="1">
      <c r="A60" s="74">
        <f>IFERROR(IF(B60&lt;&gt;"","SQ-"&amp;TEXT(ROUNDUP((ROW()-4)/4,0),"000"),""),"")</f>
        <v/>
      </c>
      <c r="B60" s="62" t="inlineStr"/>
      <c r="C60" s="63" t="inlineStr"/>
      <c r="D60" s="63" t="inlineStr"/>
      <c r="E60" s="63" t="inlineStr"/>
      <c r="F60" s="62" t="inlineStr"/>
      <c r="G60" s="63" t="inlineStr"/>
      <c r="H60" s="66" t="inlineStr"/>
      <c r="I60" s="62" t="inlineStr"/>
      <c r="J60" s="62" t="inlineStr"/>
      <c r="K60" s="62" t="inlineStr"/>
      <c r="L60" s="62" t="inlineStr"/>
      <c r="M60" s="66" t="inlineStr"/>
      <c r="N60" s="72" t="n">
        <v>0.25</v>
      </c>
      <c r="O60" s="73">
        <f>IFERROR(IF(M60&gt;0,M60*(1+N60),""),"")</f>
        <v/>
      </c>
      <c r="P60" s="63" t="inlineStr"/>
    </row>
    <row r="61" ht="30" customHeight="1">
      <c r="A61" s="68">
        <f>IFERROR(IF(B61&lt;&gt;"","SQ-"&amp;TEXT(ROUNDUP((ROW()-4)/4,0),"000"),""),"")</f>
        <v/>
      </c>
      <c r="B61" s="69" t="inlineStr"/>
      <c r="C61" s="70" t="inlineStr"/>
      <c r="D61" s="70" t="inlineStr"/>
      <c r="E61" s="70" t="inlineStr"/>
      <c r="F61" s="69" t="inlineStr"/>
      <c r="G61" s="70" t="inlineStr"/>
      <c r="H61" s="71" t="inlineStr"/>
      <c r="I61" s="69" t="inlineStr"/>
      <c r="J61" s="69" t="inlineStr"/>
      <c r="K61" s="69" t="inlineStr"/>
      <c r="L61" s="69" t="inlineStr"/>
      <c r="M61" s="71" t="inlineStr"/>
      <c r="N61" s="72" t="n">
        <v>0.25</v>
      </c>
      <c r="O61" s="73">
        <f>IFERROR(IF(M61&gt;0,M61*(1+N61),""),"")</f>
        <v/>
      </c>
      <c r="P61" s="70" t="inlineStr"/>
    </row>
    <row r="62" ht="30" customHeight="1">
      <c r="A62" s="68">
        <f>IFERROR(IF(B62&lt;&gt;"","SQ-"&amp;TEXT(ROUNDUP((ROW()-4)/4,0),"000"),""),"")</f>
        <v/>
      </c>
      <c r="B62" s="69" t="inlineStr"/>
      <c r="C62" s="70" t="inlineStr"/>
      <c r="D62" s="70" t="inlineStr"/>
      <c r="E62" s="70" t="inlineStr"/>
      <c r="F62" s="69" t="inlineStr"/>
      <c r="G62" s="70" t="inlineStr"/>
      <c r="H62" s="71" t="inlineStr"/>
      <c r="I62" s="69" t="inlineStr"/>
      <c r="J62" s="69" t="inlineStr"/>
      <c r="K62" s="69" t="inlineStr"/>
      <c r="L62" s="69" t="inlineStr"/>
      <c r="M62" s="71" t="inlineStr"/>
      <c r="N62" s="72" t="n">
        <v>0.25</v>
      </c>
      <c r="O62" s="73">
        <f>IFERROR(IF(M62&gt;0,M62*(1+N62),""),"")</f>
        <v/>
      </c>
      <c r="P62" s="70" t="inlineStr"/>
    </row>
    <row r="63" ht="30" customHeight="1">
      <c r="A63" s="68">
        <f>IFERROR(IF(B63&lt;&gt;"","SQ-"&amp;TEXT(ROUNDUP((ROW()-4)/4,0),"000"),""),"")</f>
        <v/>
      </c>
      <c r="B63" s="69" t="inlineStr"/>
      <c r="C63" s="70" t="inlineStr"/>
      <c r="D63" s="70" t="inlineStr"/>
      <c r="E63" s="70" t="inlineStr"/>
      <c r="F63" s="69" t="inlineStr"/>
      <c r="G63" s="70" t="inlineStr"/>
      <c r="H63" s="71" t="inlineStr"/>
      <c r="I63" s="69" t="inlineStr"/>
      <c r="J63" s="69" t="inlineStr"/>
      <c r="K63" s="69" t="inlineStr"/>
      <c r="L63" s="69" t="inlineStr"/>
      <c r="M63" s="71" t="inlineStr"/>
      <c r="N63" s="72" t="n">
        <v>0.25</v>
      </c>
      <c r="O63" s="73">
        <f>IFERROR(IF(M63&gt;0,M63*(1+N63),""),"")</f>
        <v/>
      </c>
      <c r="P63" s="70" t="inlineStr"/>
    </row>
    <row r="64" ht="30" customHeight="1">
      <c r="A64" s="68">
        <f>IFERROR(IF(B64&lt;&gt;"","SQ-"&amp;TEXT(ROUNDUP((ROW()-4)/4,0),"000"),""),"")</f>
        <v/>
      </c>
      <c r="B64" s="69" t="inlineStr"/>
      <c r="C64" s="70" t="inlineStr"/>
      <c r="D64" s="70" t="inlineStr"/>
      <c r="E64" s="70" t="inlineStr"/>
      <c r="F64" s="69" t="inlineStr"/>
      <c r="G64" s="70" t="inlineStr"/>
      <c r="H64" s="71" t="inlineStr"/>
      <c r="I64" s="69" t="inlineStr"/>
      <c r="J64" s="69" t="inlineStr"/>
      <c r="K64" s="69" t="inlineStr"/>
      <c r="L64" s="69" t="inlineStr"/>
      <c r="M64" s="71" t="inlineStr"/>
      <c r="N64" s="72" t="n">
        <v>0.25</v>
      </c>
      <c r="O64" s="73">
        <f>IFERROR(IF(M64&gt;0,M64*(1+N64),""),"")</f>
        <v/>
      </c>
      <c r="P64" s="70" t="inlineStr"/>
    </row>
    <row r="65" ht="30" customHeight="1">
      <c r="A65" s="74">
        <f>IFERROR(IF(B65&lt;&gt;"","SQ-"&amp;TEXT(ROUNDUP((ROW()-4)/4,0),"000"),""),"")</f>
        <v/>
      </c>
      <c r="B65" s="62" t="inlineStr"/>
      <c r="C65" s="63" t="inlineStr"/>
      <c r="D65" s="63" t="inlineStr"/>
      <c r="E65" s="63" t="inlineStr"/>
      <c r="F65" s="62" t="inlineStr"/>
      <c r="G65" s="63" t="inlineStr"/>
      <c r="H65" s="66" t="inlineStr"/>
      <c r="I65" s="62" t="inlineStr"/>
      <c r="J65" s="62" t="inlineStr"/>
      <c r="K65" s="62" t="inlineStr"/>
      <c r="L65" s="62" t="inlineStr"/>
      <c r="M65" s="66" t="inlineStr"/>
      <c r="N65" s="72" t="n">
        <v>0.25</v>
      </c>
      <c r="O65" s="73">
        <f>IFERROR(IF(M65&gt;0,M65*(1+N65),""),"")</f>
        <v/>
      </c>
      <c r="P65" s="63" t="inlineStr"/>
    </row>
    <row r="66" ht="30" customHeight="1">
      <c r="A66" s="74">
        <f>IFERROR(IF(B66&lt;&gt;"","SQ-"&amp;TEXT(ROUNDUP((ROW()-4)/4,0),"000"),""),"")</f>
        <v/>
      </c>
      <c r="B66" s="62" t="inlineStr"/>
      <c r="C66" s="63" t="inlineStr"/>
      <c r="D66" s="63" t="inlineStr"/>
      <c r="E66" s="63" t="inlineStr"/>
      <c r="F66" s="62" t="inlineStr"/>
      <c r="G66" s="63" t="inlineStr"/>
      <c r="H66" s="66" t="inlineStr"/>
      <c r="I66" s="62" t="inlineStr"/>
      <c r="J66" s="62" t="inlineStr"/>
      <c r="K66" s="62" t="inlineStr"/>
      <c r="L66" s="62" t="inlineStr"/>
      <c r="M66" s="66" t="inlineStr"/>
      <c r="N66" s="72" t="n">
        <v>0.25</v>
      </c>
      <c r="O66" s="73">
        <f>IFERROR(IF(M66&gt;0,M66*(1+N66),""),"")</f>
        <v/>
      </c>
      <c r="P66" s="63" t="inlineStr"/>
    </row>
    <row r="67" ht="30" customHeight="1">
      <c r="A67" s="74">
        <f>IFERROR(IF(B67&lt;&gt;"","SQ-"&amp;TEXT(ROUNDUP((ROW()-4)/4,0),"000"),""),"")</f>
        <v/>
      </c>
      <c r="B67" s="62" t="inlineStr"/>
      <c r="C67" s="63" t="inlineStr"/>
      <c r="D67" s="63" t="inlineStr"/>
      <c r="E67" s="63" t="inlineStr"/>
      <c r="F67" s="62" t="inlineStr"/>
      <c r="G67" s="63" t="inlineStr"/>
      <c r="H67" s="66" t="inlineStr"/>
      <c r="I67" s="62" t="inlineStr"/>
      <c r="J67" s="62" t="inlineStr"/>
      <c r="K67" s="62" t="inlineStr"/>
      <c r="L67" s="62" t="inlineStr"/>
      <c r="M67" s="66" t="inlineStr"/>
      <c r="N67" s="72" t="n">
        <v>0.25</v>
      </c>
      <c r="O67" s="73">
        <f>IFERROR(IF(M67&gt;0,M67*(1+N67),""),"")</f>
        <v/>
      </c>
      <c r="P67" s="63" t="inlineStr"/>
    </row>
    <row r="68" ht="30" customHeight="1">
      <c r="A68" s="74">
        <f>IFERROR(IF(B68&lt;&gt;"","SQ-"&amp;TEXT(ROUNDUP((ROW()-4)/4,0),"000"),""),"")</f>
        <v/>
      </c>
      <c r="B68" s="62" t="inlineStr"/>
      <c r="C68" s="63" t="inlineStr"/>
      <c r="D68" s="63" t="inlineStr"/>
      <c r="E68" s="63" t="inlineStr"/>
      <c r="F68" s="62" t="inlineStr"/>
      <c r="G68" s="63" t="inlineStr"/>
      <c r="H68" s="66" t="inlineStr"/>
      <c r="I68" s="62" t="inlineStr"/>
      <c r="J68" s="62" t="inlineStr"/>
      <c r="K68" s="62" t="inlineStr"/>
      <c r="L68" s="62" t="inlineStr"/>
      <c r="M68" s="66" t="inlineStr"/>
      <c r="N68" s="72" t="n">
        <v>0.25</v>
      </c>
      <c r="O68" s="73">
        <f>IFERROR(IF(M68&gt;0,M68*(1+N68),""),"")</f>
        <v/>
      </c>
      <c r="P68" s="63" t="inlineStr"/>
    </row>
    <row r="69" ht="30" customHeight="1">
      <c r="A69" s="68">
        <f>IFERROR(IF(B69&lt;&gt;"","SQ-"&amp;TEXT(ROUNDUP((ROW()-4)/4,0),"000"),""),"")</f>
        <v/>
      </c>
      <c r="B69" s="69" t="inlineStr"/>
      <c r="C69" s="70" t="inlineStr"/>
      <c r="D69" s="70" t="inlineStr"/>
      <c r="E69" s="70" t="inlineStr"/>
      <c r="F69" s="69" t="inlineStr"/>
      <c r="G69" s="70" t="inlineStr"/>
      <c r="H69" s="71" t="inlineStr"/>
      <c r="I69" s="69" t="inlineStr"/>
      <c r="J69" s="69" t="inlineStr"/>
      <c r="K69" s="69" t="inlineStr"/>
      <c r="L69" s="69" t="inlineStr"/>
      <c r="M69" s="71" t="inlineStr"/>
      <c r="N69" s="72" t="n">
        <v>0.25</v>
      </c>
      <c r="O69" s="73">
        <f>IFERROR(IF(M69&gt;0,M69*(1+N69),""),"")</f>
        <v/>
      </c>
      <c r="P69" s="70" t="inlineStr"/>
    </row>
    <row r="70" ht="30" customHeight="1">
      <c r="A70" s="68">
        <f>IFERROR(IF(B70&lt;&gt;"","SQ-"&amp;TEXT(ROUNDUP((ROW()-4)/4,0),"000"),""),"")</f>
        <v/>
      </c>
      <c r="B70" s="69" t="inlineStr"/>
      <c r="C70" s="70" t="inlineStr"/>
      <c r="D70" s="70" t="inlineStr"/>
      <c r="E70" s="70" t="inlineStr"/>
      <c r="F70" s="69" t="inlineStr"/>
      <c r="G70" s="70" t="inlineStr"/>
      <c r="H70" s="71" t="inlineStr"/>
      <c r="I70" s="69" t="inlineStr"/>
      <c r="J70" s="69" t="inlineStr"/>
      <c r="K70" s="69" t="inlineStr"/>
      <c r="L70" s="69" t="inlineStr"/>
      <c r="M70" s="71" t="inlineStr"/>
      <c r="N70" s="72" t="n">
        <v>0.25</v>
      </c>
      <c r="O70" s="73">
        <f>IFERROR(IF(M70&gt;0,M70*(1+N70),""),"")</f>
        <v/>
      </c>
      <c r="P70" s="70" t="inlineStr"/>
    </row>
    <row r="71" ht="30" customHeight="1">
      <c r="A71" s="68">
        <f>IFERROR(IF(B71&lt;&gt;"","SQ-"&amp;TEXT(ROUNDUP((ROW()-4)/4,0),"000"),""),"")</f>
        <v/>
      </c>
      <c r="B71" s="69" t="inlineStr"/>
      <c r="C71" s="70" t="inlineStr"/>
      <c r="D71" s="70" t="inlineStr"/>
      <c r="E71" s="70" t="inlineStr"/>
      <c r="F71" s="69" t="inlineStr"/>
      <c r="G71" s="70" t="inlineStr"/>
      <c r="H71" s="71" t="inlineStr"/>
      <c r="I71" s="69" t="inlineStr"/>
      <c r="J71" s="69" t="inlineStr"/>
      <c r="K71" s="69" t="inlineStr"/>
      <c r="L71" s="69" t="inlineStr"/>
      <c r="M71" s="71" t="inlineStr"/>
      <c r="N71" s="72" t="n">
        <v>0.25</v>
      </c>
      <c r="O71" s="73">
        <f>IFERROR(IF(M71&gt;0,M71*(1+N71),""),"")</f>
        <v/>
      </c>
      <c r="P71" s="70" t="inlineStr"/>
    </row>
    <row r="72" ht="30" customHeight="1">
      <c r="A72" s="68">
        <f>IFERROR(IF(B72&lt;&gt;"","SQ-"&amp;TEXT(ROUNDUP((ROW()-4)/4,0),"000"),""),"")</f>
        <v/>
      </c>
      <c r="B72" s="69" t="inlineStr"/>
      <c r="C72" s="70" t="inlineStr"/>
      <c r="D72" s="70" t="inlineStr"/>
      <c r="E72" s="70" t="inlineStr"/>
      <c r="F72" s="69" t="inlineStr"/>
      <c r="G72" s="70" t="inlineStr"/>
      <c r="H72" s="71" t="inlineStr"/>
      <c r="I72" s="69" t="inlineStr"/>
      <c r="J72" s="69" t="inlineStr"/>
      <c r="K72" s="69" t="inlineStr"/>
      <c r="L72" s="69" t="inlineStr"/>
      <c r="M72" s="71" t="inlineStr"/>
      <c r="N72" s="72" t="n">
        <v>0.25</v>
      </c>
      <c r="O72" s="73">
        <f>IFERROR(IF(M72&gt;0,M72*(1+N72),""),"")</f>
        <v/>
      </c>
      <c r="P72" s="70" t="inlineStr"/>
    </row>
    <row r="73" ht="30" customHeight="1">
      <c r="A73" s="74">
        <f>IFERROR(IF(B73&lt;&gt;"","SQ-"&amp;TEXT(ROUNDUP((ROW()-4)/4,0),"000"),""),"")</f>
        <v/>
      </c>
      <c r="B73" s="62" t="inlineStr"/>
      <c r="C73" s="63" t="inlineStr"/>
      <c r="D73" s="63" t="inlineStr"/>
      <c r="E73" s="63" t="inlineStr"/>
      <c r="F73" s="62" t="inlineStr"/>
      <c r="G73" s="63" t="inlineStr"/>
      <c r="H73" s="66" t="inlineStr"/>
      <c r="I73" s="62" t="inlineStr"/>
      <c r="J73" s="62" t="inlineStr"/>
      <c r="K73" s="62" t="inlineStr"/>
      <c r="L73" s="62" t="inlineStr"/>
      <c r="M73" s="66" t="inlineStr"/>
      <c r="N73" s="72" t="n">
        <v>0.25</v>
      </c>
      <c r="O73" s="73">
        <f>IFERROR(IF(M73&gt;0,M73*(1+N73),""),"")</f>
        <v/>
      </c>
      <c r="P73" s="63" t="inlineStr"/>
    </row>
    <row r="74" ht="30" customHeight="1">
      <c r="A74" s="74">
        <f>IFERROR(IF(B74&lt;&gt;"","SQ-"&amp;TEXT(ROUNDUP((ROW()-4)/4,0),"000"),""),"")</f>
        <v/>
      </c>
      <c r="B74" s="62" t="inlineStr"/>
      <c r="C74" s="63" t="inlineStr"/>
      <c r="D74" s="63" t="inlineStr"/>
      <c r="E74" s="63" t="inlineStr"/>
      <c r="F74" s="62" t="inlineStr"/>
      <c r="G74" s="63" t="inlineStr"/>
      <c r="H74" s="66" t="inlineStr"/>
      <c r="I74" s="62" t="inlineStr"/>
      <c r="J74" s="62" t="inlineStr"/>
      <c r="K74" s="62" t="inlineStr"/>
      <c r="L74" s="62" t="inlineStr"/>
      <c r="M74" s="66" t="inlineStr"/>
      <c r="N74" s="72" t="n">
        <v>0.25</v>
      </c>
      <c r="O74" s="73">
        <f>IFERROR(IF(M74&gt;0,M74*(1+N74),""),"")</f>
        <v/>
      </c>
      <c r="P74" s="63" t="inlineStr"/>
    </row>
    <row r="75" ht="30" customHeight="1">
      <c r="A75" s="74">
        <f>IFERROR(IF(B75&lt;&gt;"","SQ-"&amp;TEXT(ROUNDUP((ROW()-4)/4,0),"000"),""),"")</f>
        <v/>
      </c>
      <c r="B75" s="62" t="inlineStr"/>
      <c r="C75" s="63" t="inlineStr"/>
      <c r="D75" s="63" t="inlineStr"/>
      <c r="E75" s="63" t="inlineStr"/>
      <c r="F75" s="62" t="inlineStr"/>
      <c r="G75" s="63" t="inlineStr"/>
      <c r="H75" s="66" t="inlineStr"/>
      <c r="I75" s="62" t="inlineStr"/>
      <c r="J75" s="62" t="inlineStr"/>
      <c r="K75" s="62" t="inlineStr"/>
      <c r="L75" s="62" t="inlineStr"/>
      <c r="M75" s="66" t="inlineStr"/>
      <c r="N75" s="72" t="n">
        <v>0.25</v>
      </c>
      <c r="O75" s="73">
        <f>IFERROR(IF(M75&gt;0,M75*(1+N75),""),"")</f>
        <v/>
      </c>
      <c r="P75" s="63" t="inlineStr"/>
    </row>
    <row r="76" ht="30" customHeight="1">
      <c r="A76" s="74">
        <f>IFERROR(IF(B76&lt;&gt;"","SQ-"&amp;TEXT(ROUNDUP((ROW()-4)/4,0),"000"),""),"")</f>
        <v/>
      </c>
      <c r="B76" s="62" t="inlineStr"/>
      <c r="C76" s="63" t="inlineStr"/>
      <c r="D76" s="63" t="inlineStr"/>
      <c r="E76" s="63" t="inlineStr"/>
      <c r="F76" s="62" t="inlineStr"/>
      <c r="G76" s="63" t="inlineStr"/>
      <c r="H76" s="66" t="inlineStr"/>
      <c r="I76" s="62" t="inlineStr"/>
      <c r="J76" s="62" t="inlineStr"/>
      <c r="K76" s="62" t="inlineStr"/>
      <c r="L76" s="62" t="inlineStr"/>
      <c r="M76" s="66" t="inlineStr"/>
      <c r="N76" s="72" t="n">
        <v>0.25</v>
      </c>
      <c r="O76" s="73">
        <f>IFERROR(IF(M76&gt;0,M76*(1+N76),""),"")</f>
        <v/>
      </c>
      <c r="P76" s="63" t="inlineStr"/>
    </row>
    <row r="77" ht="30" customHeight="1">
      <c r="A77" s="68">
        <f>IFERROR(IF(B77&lt;&gt;"","SQ-"&amp;TEXT(ROUNDUP((ROW()-4)/4,0),"000"),""),"")</f>
        <v/>
      </c>
      <c r="B77" s="69" t="inlineStr"/>
      <c r="C77" s="70" t="inlineStr"/>
      <c r="D77" s="70" t="inlineStr"/>
      <c r="E77" s="70" t="inlineStr"/>
      <c r="F77" s="69" t="inlineStr"/>
      <c r="G77" s="70" t="inlineStr"/>
      <c r="H77" s="71" t="inlineStr"/>
      <c r="I77" s="69" t="inlineStr"/>
      <c r="J77" s="69" t="inlineStr"/>
      <c r="K77" s="69" t="inlineStr"/>
      <c r="L77" s="69" t="inlineStr"/>
      <c r="M77" s="71" t="inlineStr"/>
      <c r="N77" s="72" t="n">
        <v>0.25</v>
      </c>
      <c r="O77" s="73">
        <f>IFERROR(IF(M77&gt;0,M77*(1+N77),""),"")</f>
        <v/>
      </c>
      <c r="P77" s="70" t="inlineStr"/>
    </row>
    <row r="78" ht="30" customHeight="1">
      <c r="A78" s="68">
        <f>IFERROR(IF(B78&lt;&gt;"","SQ-"&amp;TEXT(ROUNDUP((ROW()-4)/4,0),"000"),""),"")</f>
        <v/>
      </c>
      <c r="B78" s="69" t="inlineStr"/>
      <c r="C78" s="70" t="inlineStr"/>
      <c r="D78" s="70" t="inlineStr"/>
      <c r="E78" s="70" t="inlineStr"/>
      <c r="F78" s="69" t="inlineStr"/>
      <c r="G78" s="70" t="inlineStr"/>
      <c r="H78" s="71" t="inlineStr"/>
      <c r="I78" s="69" t="inlineStr"/>
      <c r="J78" s="69" t="inlineStr"/>
      <c r="K78" s="69" t="inlineStr"/>
      <c r="L78" s="69" t="inlineStr"/>
      <c r="M78" s="71" t="inlineStr"/>
      <c r="N78" s="72" t="n">
        <v>0.25</v>
      </c>
      <c r="O78" s="73">
        <f>IFERROR(IF(M78&gt;0,M78*(1+N78),""),"")</f>
        <v/>
      </c>
      <c r="P78" s="70" t="inlineStr"/>
    </row>
    <row r="79" ht="30" customHeight="1">
      <c r="A79" s="68">
        <f>IFERROR(IF(B79&lt;&gt;"","SQ-"&amp;TEXT(ROUNDUP((ROW()-4)/4,0),"000"),""),"")</f>
        <v/>
      </c>
      <c r="B79" s="69" t="inlineStr"/>
      <c r="C79" s="70" t="inlineStr"/>
      <c r="D79" s="70" t="inlineStr"/>
      <c r="E79" s="70" t="inlineStr"/>
      <c r="F79" s="69" t="inlineStr"/>
      <c r="G79" s="70" t="inlineStr"/>
      <c r="H79" s="71" t="inlineStr"/>
      <c r="I79" s="69" t="inlineStr"/>
      <c r="J79" s="69" t="inlineStr"/>
      <c r="K79" s="69" t="inlineStr"/>
      <c r="L79" s="69" t="inlineStr"/>
      <c r="M79" s="71" t="inlineStr"/>
      <c r="N79" s="72" t="n">
        <v>0.25</v>
      </c>
      <c r="O79" s="73">
        <f>IFERROR(IF(M79&gt;0,M79*(1+N79),""),"")</f>
        <v/>
      </c>
      <c r="P79" s="70" t="inlineStr"/>
    </row>
    <row r="80" ht="30" customHeight="1">
      <c r="A80" s="68">
        <f>IFERROR(IF(B80&lt;&gt;"","SQ-"&amp;TEXT(ROUNDUP((ROW()-4)/4,0),"000"),""),"")</f>
        <v/>
      </c>
      <c r="B80" s="69" t="inlineStr"/>
      <c r="C80" s="70" t="inlineStr"/>
      <c r="D80" s="70" t="inlineStr"/>
      <c r="E80" s="70" t="inlineStr"/>
      <c r="F80" s="69" t="inlineStr"/>
      <c r="G80" s="70" t="inlineStr"/>
      <c r="H80" s="71" t="inlineStr"/>
      <c r="I80" s="69" t="inlineStr"/>
      <c r="J80" s="69" t="inlineStr"/>
      <c r="K80" s="69" t="inlineStr"/>
      <c r="L80" s="69" t="inlineStr"/>
      <c r="M80" s="71" t="inlineStr"/>
      <c r="N80" s="72" t="n">
        <v>0.25</v>
      </c>
      <c r="O80" s="73">
        <f>IFERROR(IF(M80&gt;0,M80*(1+N80),""),"")</f>
        <v/>
      </c>
      <c r="P80" s="70" t="inlineStr"/>
    </row>
    <row r="81" ht="30" customHeight="1">
      <c r="A81" s="74">
        <f>IFERROR(IF(B81&lt;&gt;"","SQ-"&amp;TEXT(ROUNDUP((ROW()-4)/4,0),"000"),""),"")</f>
        <v/>
      </c>
      <c r="B81" s="62" t="inlineStr"/>
      <c r="C81" s="63" t="inlineStr"/>
      <c r="D81" s="63" t="inlineStr"/>
      <c r="E81" s="63" t="inlineStr"/>
      <c r="F81" s="62" t="inlineStr"/>
      <c r="G81" s="63" t="inlineStr"/>
      <c r="H81" s="66" t="inlineStr"/>
      <c r="I81" s="62" t="inlineStr"/>
      <c r="J81" s="62" t="inlineStr"/>
      <c r="K81" s="62" t="inlineStr"/>
      <c r="L81" s="62" t="inlineStr"/>
      <c r="M81" s="66" t="inlineStr"/>
      <c r="N81" s="72" t="n">
        <v>0.25</v>
      </c>
      <c r="O81" s="73">
        <f>IFERROR(IF(M81&gt;0,M81*(1+N81),""),"")</f>
        <v/>
      </c>
      <c r="P81" s="63" t="inlineStr"/>
    </row>
    <row r="82" ht="30" customHeight="1">
      <c r="A82" s="74">
        <f>IFERROR(IF(B82&lt;&gt;"","SQ-"&amp;TEXT(ROUNDUP((ROW()-4)/4,0),"000"),""),"")</f>
        <v/>
      </c>
      <c r="B82" s="62" t="inlineStr"/>
      <c r="C82" s="63" t="inlineStr"/>
      <c r="D82" s="63" t="inlineStr"/>
      <c r="E82" s="63" t="inlineStr"/>
      <c r="F82" s="62" t="inlineStr"/>
      <c r="G82" s="63" t="inlineStr"/>
      <c r="H82" s="66" t="inlineStr"/>
      <c r="I82" s="62" t="inlineStr"/>
      <c r="J82" s="62" t="inlineStr"/>
      <c r="K82" s="62" t="inlineStr"/>
      <c r="L82" s="62" t="inlineStr"/>
      <c r="M82" s="66" t="inlineStr"/>
      <c r="N82" s="72" t="n">
        <v>0.25</v>
      </c>
      <c r="O82" s="73">
        <f>IFERROR(IF(M82&gt;0,M82*(1+N82),""),"")</f>
        <v/>
      </c>
      <c r="P82" s="63" t="inlineStr"/>
    </row>
    <row r="83" ht="30" customHeight="1">
      <c r="A83" s="74">
        <f>IFERROR(IF(B83&lt;&gt;"","SQ-"&amp;TEXT(ROUNDUP((ROW()-4)/4,0),"000"),""),"")</f>
        <v/>
      </c>
      <c r="B83" s="62" t="inlineStr"/>
      <c r="C83" s="63" t="inlineStr"/>
      <c r="D83" s="63" t="inlineStr"/>
      <c r="E83" s="63" t="inlineStr"/>
      <c r="F83" s="62" t="inlineStr"/>
      <c r="G83" s="63" t="inlineStr"/>
      <c r="H83" s="66" t="inlineStr"/>
      <c r="I83" s="62" t="inlineStr"/>
      <c r="J83" s="62" t="inlineStr"/>
      <c r="K83" s="62" t="inlineStr"/>
      <c r="L83" s="62" t="inlineStr"/>
      <c r="M83" s="66" t="inlineStr"/>
      <c r="N83" s="72" t="n">
        <v>0.25</v>
      </c>
      <c r="O83" s="73">
        <f>IFERROR(IF(M83&gt;0,M83*(1+N83),""),"")</f>
        <v/>
      </c>
      <c r="P83" s="63" t="inlineStr"/>
    </row>
    <row r="84" ht="30" customHeight="1">
      <c r="A84" s="74">
        <f>IFERROR(IF(B84&lt;&gt;"","SQ-"&amp;TEXT(ROUNDUP((ROW()-4)/4,0),"000"),""),"")</f>
        <v/>
      </c>
      <c r="B84" s="62" t="inlineStr"/>
      <c r="C84" s="63" t="inlineStr"/>
      <c r="D84" s="63" t="inlineStr"/>
      <c r="E84" s="63" t="inlineStr"/>
      <c r="F84" s="62" t="inlineStr"/>
      <c r="G84" s="63" t="inlineStr"/>
      <c r="H84" s="66" t="inlineStr"/>
      <c r="I84" s="62" t="inlineStr"/>
      <c r="J84" s="62" t="inlineStr"/>
      <c r="K84" s="62" t="inlineStr"/>
      <c r="L84" s="62" t="inlineStr"/>
      <c r="M84" s="66" t="inlineStr"/>
      <c r="N84" s="72" t="n">
        <v>0.25</v>
      </c>
      <c r="O84" s="73">
        <f>IFERROR(IF(M84&gt;0,M84*(1+N84),""),"")</f>
        <v/>
      </c>
      <c r="P84" s="63" t="inlineStr"/>
    </row>
  </sheetData>
  <mergeCells count="2">
    <mergeCell ref="A1:P1"/>
    <mergeCell ref="A2:P2"/>
  </mergeCells>
  <dataValidations count="4">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showDropDown="0" showInputMessage="0" showErrorMessage="0" allowBlank="1" type="list">
      <formula1>"Yes,No,Partial"</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showDropDown="0" showInputMessage="0" showErrorMessage="0" allowBlank="1" type="list">
      <formula1>"Yes,No"</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showDropDown="0" showInputMessage="0" showErrorMessage="0" allowBlank="1" type="list">
      <formula1>"1,2,3,4"</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7"/>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6" customWidth="1" min="3" max="3"/>
    <col width="22" customWidth="1" min="4" max="4"/>
    <col width="12" customWidth="1" min="5" max="5"/>
    <col width="16" customWidth="1" min="6" max="6"/>
    <col width="16" customWidth="1" min="7" max="7"/>
    <col width="20" customWidth="1" min="8" max="8"/>
    <col width="22" customWidth="1" min="9" max="9"/>
    <col width="22" customWidth="1" min="10" max="10"/>
    <col width="22" customWidth="1" min="11" max="11"/>
    <col width="22" customWidth="1" min="12" max="12"/>
    <col width="22" customWidth="1" min="13" max="13"/>
    <col width="18" customWidth="1" min="14" max="14"/>
  </cols>
  <sheetData>
    <row r="1" ht="30" customHeight="1">
      <c r="A1" s="58" t="inlineStr">
        <is>
          <t>WIN / LOSS REGISTER — [Salesperson Name]</t>
        </is>
      </c>
    </row>
    <row r="2" ht="16" customHeight="1">
      <c r="A2" s="2" t="inlineStr">
        <is>
          <t>Record every proposal outcome here — Win or Loss — with reason. This drives the Dashboard funnel and manager review.</t>
        </is>
      </c>
    </row>
    <row r="3" ht="6" customHeight="1"/>
    <row r="4" ht="40" customHeight="1">
      <c r="A4" s="7" t="inlineStr">
        <is>
          <t>Inquiry ID
(link)</t>
        </is>
      </c>
      <c r="B4" s="7" t="inlineStr">
        <is>
          <t>Decision Date</t>
        </is>
      </c>
      <c r="C4" s="7" t="inlineStr">
        <is>
          <t>Project Name</t>
        </is>
      </c>
      <c r="D4" s="7" t="inlineStr">
        <is>
          <t>Client</t>
        </is>
      </c>
      <c r="E4" s="75" t="inlineStr">
        <is>
          <t>Outcome
(Won/Lost)</t>
        </is>
      </c>
      <c r="F4" s="7" t="inlineStr">
        <is>
          <t>Proposal Value
(AED)</t>
        </is>
      </c>
      <c r="G4" s="7" t="inlineStr">
        <is>
          <t>Won Value
(AED)</t>
        </is>
      </c>
      <c r="H4" s="7" t="inlineStr">
        <is>
          <t>Proposal Track</t>
        </is>
      </c>
      <c r="I4" s="7" t="inlineStr">
        <is>
          <t>Primary Loss Reason</t>
        </is>
      </c>
      <c r="J4" s="7" t="inlineStr">
        <is>
          <t>Secondary Loss Reason</t>
        </is>
      </c>
      <c r="K4" s="7" t="inlineStr">
        <is>
          <t>Win Reason
(if won)</t>
        </is>
      </c>
      <c r="L4" s="7" t="inlineStr">
        <is>
          <t>Competitor (if lost)</t>
        </is>
      </c>
      <c r="M4" s="7" t="inlineStr">
        <is>
          <t>Lesson / Action Taken</t>
        </is>
      </c>
      <c r="N4" s="7" t="inlineStr">
        <is>
          <t>Manager Notes</t>
        </is>
      </c>
    </row>
    <row r="5" ht="32" customHeight="1">
      <c r="A5" s="59" t="inlineStr"/>
      <c r="B5" s="59" t="inlineStr"/>
      <c r="C5" s="60" t="inlineStr"/>
      <c r="D5" s="60" t="inlineStr"/>
      <c r="E5" s="59" t="inlineStr"/>
      <c r="F5" s="64" t="inlineStr"/>
      <c r="G5" s="64" t="inlineStr"/>
      <c r="H5" s="59" t="inlineStr"/>
      <c r="I5" s="60" t="inlineStr"/>
      <c r="J5" s="60" t="inlineStr"/>
      <c r="K5" s="60" t="inlineStr"/>
      <c r="L5" s="60" t="inlineStr"/>
      <c r="M5" s="60" t="inlineStr"/>
      <c r="N5" s="60" t="inlineStr"/>
    </row>
    <row r="6" ht="32" customHeight="1">
      <c r="A6" s="62" t="inlineStr"/>
      <c r="B6" s="62" t="inlineStr"/>
      <c r="C6" s="63" t="inlineStr"/>
      <c r="D6" s="63" t="inlineStr"/>
      <c r="E6" s="62" t="inlineStr"/>
      <c r="F6" s="66" t="inlineStr"/>
      <c r="G6" s="66" t="inlineStr"/>
      <c r="H6" s="62" t="inlineStr"/>
      <c r="I6" s="63" t="inlineStr"/>
      <c r="J6" s="63" t="inlineStr"/>
      <c r="K6" s="63" t="inlineStr"/>
      <c r="L6" s="63" t="inlineStr"/>
      <c r="M6" s="63" t="inlineStr"/>
      <c r="N6" s="63" t="inlineStr"/>
    </row>
    <row r="7" ht="32" customHeight="1">
      <c r="A7" s="59" t="inlineStr"/>
      <c r="B7" s="59" t="inlineStr"/>
      <c r="C7" s="60" t="inlineStr"/>
      <c r="D7" s="60" t="inlineStr"/>
      <c r="E7" s="59" t="inlineStr"/>
      <c r="F7" s="64" t="inlineStr"/>
      <c r="G7" s="64" t="inlineStr"/>
      <c r="H7" s="59" t="inlineStr"/>
      <c r="I7" s="60" t="inlineStr"/>
      <c r="J7" s="60" t="inlineStr"/>
      <c r="K7" s="60" t="inlineStr"/>
      <c r="L7" s="60" t="inlineStr"/>
      <c r="M7" s="60" t="inlineStr"/>
      <c r="N7" s="60" t="inlineStr"/>
    </row>
    <row r="8" ht="32" customHeight="1">
      <c r="A8" s="62" t="inlineStr"/>
      <c r="B8" s="62" t="inlineStr"/>
      <c r="C8" s="63" t="inlineStr"/>
      <c r="D8" s="63" t="inlineStr"/>
      <c r="E8" s="62" t="inlineStr"/>
      <c r="F8" s="66" t="inlineStr"/>
      <c r="G8" s="66" t="inlineStr"/>
      <c r="H8" s="62" t="inlineStr"/>
      <c r="I8" s="63" t="inlineStr"/>
      <c r="J8" s="63" t="inlineStr"/>
      <c r="K8" s="63" t="inlineStr"/>
      <c r="L8" s="63" t="inlineStr"/>
      <c r="M8" s="63" t="inlineStr"/>
      <c r="N8" s="63" t="inlineStr"/>
    </row>
    <row r="9" ht="32" customHeight="1">
      <c r="A9" s="59" t="inlineStr"/>
      <c r="B9" s="59" t="inlineStr"/>
      <c r="C9" s="60" t="inlineStr"/>
      <c r="D9" s="60" t="inlineStr"/>
      <c r="E9" s="59" t="inlineStr"/>
      <c r="F9" s="64" t="inlineStr"/>
      <c r="G9" s="64" t="inlineStr"/>
      <c r="H9" s="59" t="inlineStr"/>
      <c r="I9" s="60" t="inlineStr"/>
      <c r="J9" s="60" t="inlineStr"/>
      <c r="K9" s="60" t="inlineStr"/>
      <c r="L9" s="60" t="inlineStr"/>
      <c r="M9" s="60" t="inlineStr"/>
      <c r="N9" s="60" t="inlineStr"/>
    </row>
    <row r="10" ht="32" customHeight="1">
      <c r="A10" s="62" t="inlineStr"/>
      <c r="B10" s="62" t="inlineStr"/>
      <c r="C10" s="63" t="inlineStr"/>
      <c r="D10" s="63" t="inlineStr"/>
      <c r="E10" s="62" t="inlineStr"/>
      <c r="F10" s="66" t="inlineStr"/>
      <c r="G10" s="66" t="inlineStr"/>
      <c r="H10" s="62" t="inlineStr"/>
      <c r="I10" s="63" t="inlineStr"/>
      <c r="J10" s="63" t="inlineStr"/>
      <c r="K10" s="63" t="inlineStr"/>
      <c r="L10" s="63" t="inlineStr"/>
      <c r="M10" s="63" t="inlineStr"/>
      <c r="N10" s="63" t="inlineStr"/>
    </row>
    <row r="11" ht="32" customHeight="1">
      <c r="A11" s="59" t="inlineStr"/>
      <c r="B11" s="59" t="inlineStr"/>
      <c r="C11" s="60" t="inlineStr"/>
      <c r="D11" s="60" t="inlineStr"/>
      <c r="E11" s="59" t="inlineStr"/>
      <c r="F11" s="64" t="inlineStr"/>
      <c r="G11" s="64" t="inlineStr"/>
      <c r="H11" s="59" t="inlineStr"/>
      <c r="I11" s="60" t="inlineStr"/>
      <c r="J11" s="60" t="inlineStr"/>
      <c r="K11" s="60" t="inlineStr"/>
      <c r="L11" s="60" t="inlineStr"/>
      <c r="M11" s="60" t="inlineStr"/>
      <c r="N11" s="60" t="inlineStr"/>
    </row>
    <row r="12" ht="32" customHeight="1">
      <c r="A12" s="62" t="inlineStr"/>
      <c r="B12" s="62" t="inlineStr"/>
      <c r="C12" s="63" t="inlineStr"/>
      <c r="D12" s="63" t="inlineStr"/>
      <c r="E12" s="62" t="inlineStr"/>
      <c r="F12" s="66" t="inlineStr"/>
      <c r="G12" s="66" t="inlineStr"/>
      <c r="H12" s="62" t="inlineStr"/>
      <c r="I12" s="63" t="inlineStr"/>
      <c r="J12" s="63" t="inlineStr"/>
      <c r="K12" s="63" t="inlineStr"/>
      <c r="L12" s="63" t="inlineStr"/>
      <c r="M12" s="63" t="inlineStr"/>
      <c r="N12" s="63" t="inlineStr"/>
    </row>
    <row r="13" ht="32" customHeight="1">
      <c r="A13" s="59" t="inlineStr"/>
      <c r="B13" s="59" t="inlineStr"/>
      <c r="C13" s="60" t="inlineStr"/>
      <c r="D13" s="60" t="inlineStr"/>
      <c r="E13" s="59" t="inlineStr"/>
      <c r="F13" s="64" t="inlineStr"/>
      <c r="G13" s="64" t="inlineStr"/>
      <c r="H13" s="59" t="inlineStr"/>
      <c r="I13" s="60" t="inlineStr"/>
      <c r="J13" s="60" t="inlineStr"/>
      <c r="K13" s="60" t="inlineStr"/>
      <c r="L13" s="60" t="inlineStr"/>
      <c r="M13" s="60" t="inlineStr"/>
      <c r="N13" s="60" t="inlineStr"/>
    </row>
    <row r="14" ht="32" customHeight="1">
      <c r="A14" s="62" t="inlineStr"/>
      <c r="B14" s="62" t="inlineStr"/>
      <c r="C14" s="63" t="inlineStr"/>
      <c r="D14" s="63" t="inlineStr"/>
      <c r="E14" s="62" t="inlineStr"/>
      <c r="F14" s="66" t="inlineStr"/>
      <c r="G14" s="66" t="inlineStr"/>
      <c r="H14" s="62" t="inlineStr"/>
      <c r="I14" s="63" t="inlineStr"/>
      <c r="J14" s="63" t="inlineStr"/>
      <c r="K14" s="63" t="inlineStr"/>
      <c r="L14" s="63" t="inlineStr"/>
      <c r="M14" s="63" t="inlineStr"/>
      <c r="N14" s="63" t="inlineStr"/>
    </row>
    <row r="15" ht="32" customHeight="1">
      <c r="A15" s="59" t="inlineStr"/>
      <c r="B15" s="59" t="inlineStr"/>
      <c r="C15" s="60" t="inlineStr"/>
      <c r="D15" s="60" t="inlineStr"/>
      <c r="E15" s="59" t="inlineStr"/>
      <c r="F15" s="64" t="inlineStr"/>
      <c r="G15" s="64" t="inlineStr"/>
      <c r="H15" s="59" t="inlineStr"/>
      <c r="I15" s="60" t="inlineStr"/>
      <c r="J15" s="60" t="inlineStr"/>
      <c r="K15" s="60" t="inlineStr"/>
      <c r="L15" s="60" t="inlineStr"/>
      <c r="M15" s="60" t="inlineStr"/>
      <c r="N15" s="60" t="inlineStr"/>
    </row>
    <row r="16" ht="32" customHeight="1">
      <c r="A16" s="62" t="inlineStr"/>
      <c r="B16" s="62" t="inlineStr"/>
      <c r="C16" s="63" t="inlineStr"/>
      <c r="D16" s="63" t="inlineStr"/>
      <c r="E16" s="62" t="inlineStr"/>
      <c r="F16" s="66" t="inlineStr"/>
      <c r="G16" s="66" t="inlineStr"/>
      <c r="H16" s="62" t="inlineStr"/>
      <c r="I16" s="63" t="inlineStr"/>
      <c r="J16" s="63" t="inlineStr"/>
      <c r="K16" s="63" t="inlineStr"/>
      <c r="L16" s="63" t="inlineStr"/>
      <c r="M16" s="63" t="inlineStr"/>
      <c r="N16" s="63" t="inlineStr"/>
    </row>
    <row r="17" ht="32" customHeight="1">
      <c r="A17" s="59" t="inlineStr"/>
      <c r="B17" s="59" t="inlineStr"/>
      <c r="C17" s="60" t="inlineStr"/>
      <c r="D17" s="60" t="inlineStr"/>
      <c r="E17" s="59" t="inlineStr"/>
      <c r="F17" s="64" t="inlineStr"/>
      <c r="G17" s="64" t="inlineStr"/>
      <c r="H17" s="59" t="inlineStr"/>
      <c r="I17" s="60" t="inlineStr"/>
      <c r="J17" s="60" t="inlineStr"/>
      <c r="K17" s="60" t="inlineStr"/>
      <c r="L17" s="60" t="inlineStr"/>
      <c r="M17" s="60" t="inlineStr"/>
      <c r="N17" s="60" t="inlineStr"/>
    </row>
    <row r="18" ht="32" customHeight="1">
      <c r="A18" s="62" t="inlineStr"/>
      <c r="B18" s="62" t="inlineStr"/>
      <c r="C18" s="63" t="inlineStr"/>
      <c r="D18" s="63" t="inlineStr"/>
      <c r="E18" s="62" t="inlineStr"/>
      <c r="F18" s="66" t="inlineStr"/>
      <c r="G18" s="66" t="inlineStr"/>
      <c r="H18" s="62" t="inlineStr"/>
      <c r="I18" s="63" t="inlineStr"/>
      <c r="J18" s="63" t="inlineStr"/>
      <c r="K18" s="63" t="inlineStr"/>
      <c r="L18" s="63" t="inlineStr"/>
      <c r="M18" s="63" t="inlineStr"/>
      <c r="N18" s="63" t="inlineStr"/>
    </row>
    <row r="19" ht="32" customHeight="1">
      <c r="A19" s="59" t="inlineStr"/>
      <c r="B19" s="59" t="inlineStr"/>
      <c r="C19" s="60" t="inlineStr"/>
      <c r="D19" s="60" t="inlineStr"/>
      <c r="E19" s="59" t="inlineStr"/>
      <c r="F19" s="64" t="inlineStr"/>
      <c r="G19" s="64" t="inlineStr"/>
      <c r="H19" s="59" t="inlineStr"/>
      <c r="I19" s="60" t="inlineStr"/>
      <c r="J19" s="60" t="inlineStr"/>
      <c r="K19" s="60" t="inlineStr"/>
      <c r="L19" s="60" t="inlineStr"/>
      <c r="M19" s="60" t="inlineStr"/>
      <c r="N19" s="60" t="inlineStr"/>
    </row>
    <row r="20" ht="32" customHeight="1">
      <c r="A20" s="62" t="inlineStr"/>
      <c r="B20" s="62" t="inlineStr"/>
      <c r="C20" s="63" t="inlineStr"/>
      <c r="D20" s="63" t="inlineStr"/>
      <c r="E20" s="62" t="inlineStr"/>
      <c r="F20" s="66" t="inlineStr"/>
      <c r="G20" s="66" t="inlineStr"/>
      <c r="H20" s="62" t="inlineStr"/>
      <c r="I20" s="63" t="inlineStr"/>
      <c r="J20" s="63" t="inlineStr"/>
      <c r="K20" s="63" t="inlineStr"/>
      <c r="L20" s="63" t="inlineStr"/>
      <c r="M20" s="63" t="inlineStr"/>
      <c r="N20" s="63" t="inlineStr"/>
    </row>
    <row r="21" ht="32" customHeight="1">
      <c r="A21" s="59" t="inlineStr"/>
      <c r="B21" s="59" t="inlineStr"/>
      <c r="C21" s="60" t="inlineStr"/>
      <c r="D21" s="60" t="inlineStr"/>
      <c r="E21" s="59" t="inlineStr"/>
      <c r="F21" s="64" t="inlineStr"/>
      <c r="G21" s="64" t="inlineStr"/>
      <c r="H21" s="59" t="inlineStr"/>
      <c r="I21" s="60" t="inlineStr"/>
      <c r="J21" s="60" t="inlineStr"/>
      <c r="K21" s="60" t="inlineStr"/>
      <c r="L21" s="60" t="inlineStr"/>
      <c r="M21" s="60" t="inlineStr"/>
      <c r="N21" s="60" t="inlineStr"/>
    </row>
    <row r="22" ht="32" customHeight="1">
      <c r="A22" s="62" t="inlineStr"/>
      <c r="B22" s="62" t="inlineStr"/>
      <c r="C22" s="63" t="inlineStr"/>
      <c r="D22" s="63" t="inlineStr"/>
      <c r="E22" s="62" t="inlineStr"/>
      <c r="F22" s="66" t="inlineStr"/>
      <c r="G22" s="66" t="inlineStr"/>
      <c r="H22" s="62" t="inlineStr"/>
      <c r="I22" s="63" t="inlineStr"/>
      <c r="J22" s="63" t="inlineStr"/>
      <c r="K22" s="63" t="inlineStr"/>
      <c r="L22" s="63" t="inlineStr"/>
      <c r="M22" s="63" t="inlineStr"/>
      <c r="N22" s="63" t="inlineStr"/>
    </row>
    <row r="23" ht="32" customHeight="1">
      <c r="A23" s="59" t="inlineStr"/>
      <c r="B23" s="59" t="inlineStr"/>
      <c r="C23" s="60" t="inlineStr"/>
      <c r="D23" s="60" t="inlineStr"/>
      <c r="E23" s="59" t="inlineStr"/>
      <c r="F23" s="64" t="inlineStr"/>
      <c r="G23" s="64" t="inlineStr"/>
      <c r="H23" s="59" t="inlineStr"/>
      <c r="I23" s="60" t="inlineStr"/>
      <c r="J23" s="60" t="inlineStr"/>
      <c r="K23" s="60" t="inlineStr"/>
      <c r="L23" s="60" t="inlineStr"/>
      <c r="M23" s="60" t="inlineStr"/>
      <c r="N23" s="60" t="inlineStr"/>
    </row>
    <row r="24" ht="32" customHeight="1">
      <c r="A24" s="62" t="inlineStr"/>
      <c r="B24" s="62" t="inlineStr"/>
      <c r="C24" s="63" t="inlineStr"/>
      <c r="D24" s="63" t="inlineStr"/>
      <c r="E24" s="62" t="inlineStr"/>
      <c r="F24" s="66" t="inlineStr"/>
      <c r="G24" s="66" t="inlineStr"/>
      <c r="H24" s="62" t="inlineStr"/>
      <c r="I24" s="63" t="inlineStr"/>
      <c r="J24" s="63" t="inlineStr"/>
      <c r="K24" s="63" t="inlineStr"/>
      <c r="L24" s="63" t="inlineStr"/>
      <c r="M24" s="63" t="inlineStr"/>
      <c r="N24" s="63" t="inlineStr"/>
    </row>
    <row r="25" ht="32" customHeight="1">
      <c r="A25" s="59" t="inlineStr"/>
      <c r="B25" s="59" t="inlineStr"/>
      <c r="C25" s="60" t="inlineStr"/>
      <c r="D25" s="60" t="inlineStr"/>
      <c r="E25" s="59" t="inlineStr"/>
      <c r="F25" s="64" t="inlineStr"/>
      <c r="G25" s="64" t="inlineStr"/>
      <c r="H25" s="59" t="inlineStr"/>
      <c r="I25" s="60" t="inlineStr"/>
      <c r="J25" s="60" t="inlineStr"/>
      <c r="K25" s="60" t="inlineStr"/>
      <c r="L25" s="60" t="inlineStr"/>
      <c r="M25" s="60" t="inlineStr"/>
      <c r="N25" s="60" t="inlineStr"/>
    </row>
    <row r="26" ht="32" customHeight="1">
      <c r="A26" s="62" t="inlineStr"/>
      <c r="B26" s="62" t="inlineStr"/>
      <c r="C26" s="63" t="inlineStr"/>
      <c r="D26" s="63" t="inlineStr"/>
      <c r="E26" s="62" t="inlineStr"/>
      <c r="F26" s="66" t="inlineStr"/>
      <c r="G26" s="66" t="inlineStr"/>
      <c r="H26" s="62" t="inlineStr"/>
      <c r="I26" s="63" t="inlineStr"/>
      <c r="J26" s="63" t="inlineStr"/>
      <c r="K26" s="63" t="inlineStr"/>
      <c r="L26" s="63" t="inlineStr"/>
      <c r="M26" s="63" t="inlineStr"/>
      <c r="N26" s="63" t="inlineStr"/>
    </row>
    <row r="27" ht="32" customHeight="1">
      <c r="A27" s="59" t="inlineStr"/>
      <c r="B27" s="59" t="inlineStr"/>
      <c r="C27" s="60" t="inlineStr"/>
      <c r="D27" s="60" t="inlineStr"/>
      <c r="E27" s="59" t="inlineStr"/>
      <c r="F27" s="64" t="inlineStr"/>
      <c r="G27" s="64" t="inlineStr"/>
      <c r="H27" s="59" t="inlineStr"/>
      <c r="I27" s="60" t="inlineStr"/>
      <c r="J27" s="60" t="inlineStr"/>
      <c r="K27" s="60" t="inlineStr"/>
      <c r="L27" s="60" t="inlineStr"/>
      <c r="M27" s="60" t="inlineStr"/>
      <c r="N27" s="60" t="inlineStr"/>
    </row>
    <row r="28" ht="32" customHeight="1">
      <c r="A28" s="62" t="inlineStr"/>
      <c r="B28" s="62" t="inlineStr"/>
      <c r="C28" s="63" t="inlineStr"/>
      <c r="D28" s="63" t="inlineStr"/>
      <c r="E28" s="62" t="inlineStr"/>
      <c r="F28" s="66" t="inlineStr"/>
      <c r="G28" s="66" t="inlineStr"/>
      <c r="H28" s="62" t="inlineStr"/>
      <c r="I28" s="63" t="inlineStr"/>
      <c r="J28" s="63" t="inlineStr"/>
      <c r="K28" s="63" t="inlineStr"/>
      <c r="L28" s="63" t="inlineStr"/>
      <c r="M28" s="63" t="inlineStr"/>
      <c r="N28" s="63" t="inlineStr"/>
    </row>
    <row r="29" ht="32" customHeight="1">
      <c r="A29" s="59" t="inlineStr"/>
      <c r="B29" s="59" t="inlineStr"/>
      <c r="C29" s="60" t="inlineStr"/>
      <c r="D29" s="60" t="inlineStr"/>
      <c r="E29" s="59" t="inlineStr"/>
      <c r="F29" s="64" t="inlineStr"/>
      <c r="G29" s="64" t="inlineStr"/>
      <c r="H29" s="59" t="inlineStr"/>
      <c r="I29" s="60" t="inlineStr"/>
      <c r="J29" s="60" t="inlineStr"/>
      <c r="K29" s="60" t="inlineStr"/>
      <c r="L29" s="60" t="inlineStr"/>
      <c r="M29" s="60" t="inlineStr"/>
      <c r="N29" s="60" t="inlineStr"/>
    </row>
    <row r="30" ht="32" customHeight="1">
      <c r="A30" s="62" t="inlineStr"/>
      <c r="B30" s="62" t="inlineStr"/>
      <c r="C30" s="63" t="inlineStr"/>
      <c r="D30" s="63" t="inlineStr"/>
      <c r="E30" s="62" t="inlineStr"/>
      <c r="F30" s="66" t="inlineStr"/>
      <c r="G30" s="66" t="inlineStr"/>
      <c r="H30" s="62" t="inlineStr"/>
      <c r="I30" s="63" t="inlineStr"/>
      <c r="J30" s="63" t="inlineStr"/>
      <c r="K30" s="63" t="inlineStr"/>
      <c r="L30" s="63" t="inlineStr"/>
      <c r="M30" s="63" t="inlineStr"/>
      <c r="N30" s="63" t="inlineStr"/>
    </row>
    <row r="31" ht="32" customHeight="1">
      <c r="A31" s="59" t="inlineStr"/>
      <c r="B31" s="59" t="inlineStr"/>
      <c r="C31" s="60" t="inlineStr"/>
      <c r="D31" s="60" t="inlineStr"/>
      <c r="E31" s="59" t="inlineStr"/>
      <c r="F31" s="64" t="inlineStr"/>
      <c r="G31" s="64" t="inlineStr"/>
      <c r="H31" s="59" t="inlineStr"/>
      <c r="I31" s="60" t="inlineStr"/>
      <c r="J31" s="60" t="inlineStr"/>
      <c r="K31" s="60" t="inlineStr"/>
      <c r="L31" s="60" t="inlineStr"/>
      <c r="M31" s="60" t="inlineStr"/>
      <c r="N31" s="60" t="inlineStr"/>
    </row>
    <row r="32" ht="32" customHeight="1">
      <c r="A32" s="62" t="inlineStr"/>
      <c r="B32" s="62" t="inlineStr"/>
      <c r="C32" s="63" t="inlineStr"/>
      <c r="D32" s="63" t="inlineStr"/>
      <c r="E32" s="62" t="inlineStr"/>
      <c r="F32" s="66" t="inlineStr"/>
      <c r="G32" s="66" t="inlineStr"/>
      <c r="H32" s="62" t="inlineStr"/>
      <c r="I32" s="63" t="inlineStr"/>
      <c r="J32" s="63" t="inlineStr"/>
      <c r="K32" s="63" t="inlineStr"/>
      <c r="L32" s="63" t="inlineStr"/>
      <c r="M32" s="63" t="inlineStr"/>
      <c r="N32" s="63" t="inlineStr"/>
    </row>
    <row r="33" ht="32" customHeight="1">
      <c r="A33" s="59" t="inlineStr"/>
      <c r="B33" s="59" t="inlineStr"/>
      <c r="C33" s="60" t="inlineStr"/>
      <c r="D33" s="60" t="inlineStr"/>
      <c r="E33" s="59" t="inlineStr"/>
      <c r="F33" s="64" t="inlineStr"/>
      <c r="G33" s="64" t="inlineStr"/>
      <c r="H33" s="59" t="inlineStr"/>
      <c r="I33" s="60" t="inlineStr"/>
      <c r="J33" s="60" t="inlineStr"/>
      <c r="K33" s="60" t="inlineStr"/>
      <c r="L33" s="60" t="inlineStr"/>
      <c r="M33" s="60" t="inlineStr"/>
      <c r="N33" s="60" t="inlineStr"/>
    </row>
    <row r="34" ht="32" customHeight="1">
      <c r="A34" s="62" t="inlineStr"/>
      <c r="B34" s="62" t="inlineStr"/>
      <c r="C34" s="63" t="inlineStr"/>
      <c r="D34" s="63" t="inlineStr"/>
      <c r="E34" s="62" t="inlineStr"/>
      <c r="F34" s="66" t="inlineStr"/>
      <c r="G34" s="66" t="inlineStr"/>
      <c r="H34" s="62" t="inlineStr"/>
      <c r="I34" s="63" t="inlineStr"/>
      <c r="J34" s="63" t="inlineStr"/>
      <c r="K34" s="63" t="inlineStr"/>
      <c r="L34" s="63" t="inlineStr"/>
      <c r="M34" s="63" t="inlineStr"/>
      <c r="N34" s="63" t="inlineStr"/>
    </row>
    <row r="35" ht="32" customHeight="1">
      <c r="A35" s="59" t="inlineStr"/>
      <c r="B35" s="59" t="inlineStr"/>
      <c r="C35" s="60" t="inlineStr"/>
      <c r="D35" s="60" t="inlineStr"/>
      <c r="E35" s="59" t="inlineStr"/>
      <c r="F35" s="64" t="inlineStr"/>
      <c r="G35" s="64" t="inlineStr"/>
      <c r="H35" s="59" t="inlineStr"/>
      <c r="I35" s="60" t="inlineStr"/>
      <c r="J35" s="60" t="inlineStr"/>
      <c r="K35" s="60" t="inlineStr"/>
      <c r="L35" s="60" t="inlineStr"/>
      <c r="M35" s="60" t="inlineStr"/>
      <c r="N35" s="60" t="inlineStr"/>
    </row>
    <row r="36" ht="32" customHeight="1">
      <c r="A36" s="62" t="inlineStr"/>
      <c r="B36" s="62" t="inlineStr"/>
      <c r="C36" s="63" t="inlineStr"/>
      <c r="D36" s="63" t="inlineStr"/>
      <c r="E36" s="62" t="inlineStr"/>
      <c r="F36" s="66" t="inlineStr"/>
      <c r="G36" s="66" t="inlineStr"/>
      <c r="H36" s="62" t="inlineStr"/>
      <c r="I36" s="63" t="inlineStr"/>
      <c r="J36" s="63" t="inlineStr"/>
      <c r="K36" s="63" t="inlineStr"/>
      <c r="L36" s="63" t="inlineStr"/>
      <c r="M36" s="63" t="inlineStr"/>
      <c r="N36" s="63" t="inlineStr"/>
    </row>
    <row r="37" ht="32" customHeight="1">
      <c r="A37" s="59" t="inlineStr"/>
      <c r="B37" s="59" t="inlineStr"/>
      <c r="C37" s="60" t="inlineStr"/>
      <c r="D37" s="60" t="inlineStr"/>
      <c r="E37" s="59" t="inlineStr"/>
      <c r="F37" s="64" t="inlineStr"/>
      <c r="G37" s="64" t="inlineStr"/>
      <c r="H37" s="59" t="inlineStr"/>
      <c r="I37" s="60" t="inlineStr"/>
      <c r="J37" s="60" t="inlineStr"/>
      <c r="K37" s="60" t="inlineStr"/>
      <c r="L37" s="60" t="inlineStr"/>
      <c r="M37" s="60" t="inlineStr"/>
      <c r="N37" s="60" t="inlineStr"/>
    </row>
    <row r="38" ht="32" customHeight="1">
      <c r="A38" s="62" t="inlineStr"/>
      <c r="B38" s="62" t="inlineStr"/>
      <c r="C38" s="63" t="inlineStr"/>
      <c r="D38" s="63" t="inlineStr"/>
      <c r="E38" s="62" t="inlineStr"/>
      <c r="F38" s="66" t="inlineStr"/>
      <c r="G38" s="66" t="inlineStr"/>
      <c r="H38" s="62" t="inlineStr"/>
      <c r="I38" s="63" t="inlineStr"/>
      <c r="J38" s="63" t="inlineStr"/>
      <c r="K38" s="63" t="inlineStr"/>
      <c r="L38" s="63" t="inlineStr"/>
      <c r="M38" s="63" t="inlineStr"/>
      <c r="N38" s="63" t="inlineStr"/>
    </row>
    <row r="39" ht="32" customHeight="1">
      <c r="A39" s="59" t="inlineStr"/>
      <c r="B39" s="59" t="inlineStr"/>
      <c r="C39" s="60" t="inlineStr"/>
      <c r="D39" s="60" t="inlineStr"/>
      <c r="E39" s="59" t="inlineStr"/>
      <c r="F39" s="64" t="inlineStr"/>
      <c r="G39" s="64" t="inlineStr"/>
      <c r="H39" s="59" t="inlineStr"/>
      <c r="I39" s="60" t="inlineStr"/>
      <c r="J39" s="60" t="inlineStr"/>
      <c r="K39" s="60" t="inlineStr"/>
      <c r="L39" s="60" t="inlineStr"/>
      <c r="M39" s="60" t="inlineStr"/>
      <c r="N39" s="60" t="inlineStr"/>
    </row>
    <row r="40" ht="32" customHeight="1">
      <c r="A40" s="62" t="inlineStr"/>
      <c r="B40" s="62" t="inlineStr"/>
      <c r="C40" s="63" t="inlineStr"/>
      <c r="D40" s="63" t="inlineStr"/>
      <c r="E40" s="62" t="inlineStr"/>
      <c r="F40" s="66" t="inlineStr"/>
      <c r="G40" s="66" t="inlineStr"/>
      <c r="H40" s="62" t="inlineStr"/>
      <c r="I40" s="63" t="inlineStr"/>
      <c r="J40" s="63" t="inlineStr"/>
      <c r="K40" s="63" t="inlineStr"/>
      <c r="L40" s="63" t="inlineStr"/>
      <c r="M40" s="63" t="inlineStr"/>
      <c r="N40" s="63" t="inlineStr"/>
    </row>
    <row r="41" ht="32" customHeight="1">
      <c r="A41" s="59" t="inlineStr"/>
      <c r="B41" s="59" t="inlineStr"/>
      <c r="C41" s="60" t="inlineStr"/>
      <c r="D41" s="60" t="inlineStr"/>
      <c r="E41" s="59" t="inlineStr"/>
      <c r="F41" s="64" t="inlineStr"/>
      <c r="G41" s="64" t="inlineStr"/>
      <c r="H41" s="59" t="inlineStr"/>
      <c r="I41" s="60" t="inlineStr"/>
      <c r="J41" s="60" t="inlineStr"/>
      <c r="K41" s="60" t="inlineStr"/>
      <c r="L41" s="60" t="inlineStr"/>
      <c r="M41" s="60" t="inlineStr"/>
      <c r="N41" s="60" t="inlineStr"/>
    </row>
    <row r="42" ht="32" customHeight="1">
      <c r="A42" s="62" t="inlineStr"/>
      <c r="B42" s="62" t="inlineStr"/>
      <c r="C42" s="63" t="inlineStr"/>
      <c r="D42" s="63" t="inlineStr"/>
      <c r="E42" s="62" t="inlineStr"/>
      <c r="F42" s="66" t="inlineStr"/>
      <c r="G42" s="66" t="inlineStr"/>
      <c r="H42" s="62" t="inlineStr"/>
      <c r="I42" s="63" t="inlineStr"/>
      <c r="J42" s="63" t="inlineStr"/>
      <c r="K42" s="63" t="inlineStr"/>
      <c r="L42" s="63" t="inlineStr"/>
      <c r="M42" s="63" t="inlineStr"/>
      <c r="N42" s="63" t="inlineStr"/>
    </row>
    <row r="43" ht="32" customHeight="1">
      <c r="A43" s="59" t="inlineStr"/>
      <c r="B43" s="59" t="inlineStr"/>
      <c r="C43" s="60" t="inlineStr"/>
      <c r="D43" s="60" t="inlineStr"/>
      <c r="E43" s="59" t="inlineStr"/>
      <c r="F43" s="64" t="inlineStr"/>
      <c r="G43" s="64" t="inlineStr"/>
      <c r="H43" s="59" t="inlineStr"/>
      <c r="I43" s="60" t="inlineStr"/>
      <c r="J43" s="60" t="inlineStr"/>
      <c r="K43" s="60" t="inlineStr"/>
      <c r="L43" s="60" t="inlineStr"/>
      <c r="M43" s="60" t="inlineStr"/>
      <c r="N43" s="60" t="inlineStr"/>
    </row>
    <row r="44" ht="32" customHeight="1">
      <c r="A44" s="62" t="inlineStr"/>
      <c r="B44" s="62" t="inlineStr"/>
      <c r="C44" s="63" t="inlineStr"/>
      <c r="D44" s="63" t="inlineStr"/>
      <c r="E44" s="62" t="inlineStr"/>
      <c r="F44" s="66" t="inlineStr"/>
      <c r="G44" s="66" t="inlineStr"/>
      <c r="H44" s="62" t="inlineStr"/>
      <c r="I44" s="63" t="inlineStr"/>
      <c r="J44" s="63" t="inlineStr"/>
      <c r="K44" s="63" t="inlineStr"/>
      <c r="L44" s="63" t="inlineStr"/>
      <c r="M44" s="63" t="inlineStr"/>
      <c r="N44" s="63" t="inlineStr"/>
    </row>
    <row r="45" ht="32" customHeight="1">
      <c r="A45" s="59" t="inlineStr"/>
      <c r="B45" s="59" t="inlineStr"/>
      <c r="C45" s="60" t="inlineStr"/>
      <c r="D45" s="60" t="inlineStr"/>
      <c r="E45" s="59" t="inlineStr"/>
      <c r="F45" s="64" t="inlineStr"/>
      <c r="G45" s="64" t="inlineStr"/>
      <c r="H45" s="59" t="inlineStr"/>
      <c r="I45" s="60" t="inlineStr"/>
      <c r="J45" s="60" t="inlineStr"/>
      <c r="K45" s="60" t="inlineStr"/>
      <c r="L45" s="60" t="inlineStr"/>
      <c r="M45" s="60" t="inlineStr"/>
      <c r="N45" s="60" t="inlineStr"/>
    </row>
    <row r="46" ht="32" customHeight="1">
      <c r="A46" s="62" t="inlineStr"/>
      <c r="B46" s="62" t="inlineStr"/>
      <c r="C46" s="63" t="inlineStr"/>
      <c r="D46" s="63" t="inlineStr"/>
      <c r="E46" s="62" t="inlineStr"/>
      <c r="F46" s="66" t="inlineStr"/>
      <c r="G46" s="66" t="inlineStr"/>
      <c r="H46" s="62" t="inlineStr"/>
      <c r="I46" s="63" t="inlineStr"/>
      <c r="J46" s="63" t="inlineStr"/>
      <c r="K46" s="63" t="inlineStr"/>
      <c r="L46" s="63" t="inlineStr"/>
      <c r="M46" s="63" t="inlineStr"/>
      <c r="N46" s="63" t="inlineStr"/>
    </row>
    <row r="47" ht="32" customHeight="1">
      <c r="A47" s="59" t="inlineStr"/>
      <c r="B47" s="59" t="inlineStr"/>
      <c r="C47" s="60" t="inlineStr"/>
      <c r="D47" s="60" t="inlineStr"/>
      <c r="E47" s="59" t="inlineStr"/>
      <c r="F47" s="64" t="inlineStr"/>
      <c r="G47" s="64" t="inlineStr"/>
      <c r="H47" s="59" t="inlineStr"/>
      <c r="I47" s="60" t="inlineStr"/>
      <c r="J47" s="60" t="inlineStr"/>
      <c r="K47" s="60" t="inlineStr"/>
      <c r="L47" s="60" t="inlineStr"/>
      <c r="M47" s="60" t="inlineStr"/>
      <c r="N47" s="60" t="inlineStr"/>
    </row>
    <row r="48" ht="32" customHeight="1">
      <c r="A48" s="62" t="inlineStr"/>
      <c r="B48" s="62" t="inlineStr"/>
      <c r="C48" s="63" t="inlineStr"/>
      <c r="D48" s="63" t="inlineStr"/>
      <c r="E48" s="62" t="inlineStr"/>
      <c r="F48" s="66" t="inlineStr"/>
      <c r="G48" s="66" t="inlineStr"/>
      <c r="H48" s="62" t="inlineStr"/>
      <c r="I48" s="63" t="inlineStr"/>
      <c r="J48" s="63" t="inlineStr"/>
      <c r="K48" s="63" t="inlineStr"/>
      <c r="L48" s="63" t="inlineStr"/>
      <c r="M48" s="63" t="inlineStr"/>
      <c r="N48" s="63" t="inlineStr"/>
    </row>
    <row r="49" ht="32" customHeight="1">
      <c r="A49" s="59" t="inlineStr"/>
      <c r="B49" s="59" t="inlineStr"/>
      <c r="C49" s="60" t="inlineStr"/>
      <c r="D49" s="60" t="inlineStr"/>
      <c r="E49" s="59" t="inlineStr"/>
      <c r="F49" s="64" t="inlineStr"/>
      <c r="G49" s="64" t="inlineStr"/>
      <c r="H49" s="59" t="inlineStr"/>
      <c r="I49" s="60" t="inlineStr"/>
      <c r="J49" s="60" t="inlineStr"/>
      <c r="K49" s="60" t="inlineStr"/>
      <c r="L49" s="60" t="inlineStr"/>
      <c r="M49" s="60" t="inlineStr"/>
      <c r="N49" s="60" t="inlineStr"/>
    </row>
    <row r="50" ht="32" customHeight="1">
      <c r="A50" s="62" t="inlineStr"/>
      <c r="B50" s="62" t="inlineStr"/>
      <c r="C50" s="63" t="inlineStr"/>
      <c r="D50" s="63" t="inlineStr"/>
      <c r="E50" s="62" t="inlineStr"/>
      <c r="F50" s="66" t="inlineStr"/>
      <c r="G50" s="66" t="inlineStr"/>
      <c r="H50" s="62" t="inlineStr"/>
      <c r="I50" s="63" t="inlineStr"/>
      <c r="J50" s="63" t="inlineStr"/>
      <c r="K50" s="63" t="inlineStr"/>
      <c r="L50" s="63" t="inlineStr"/>
      <c r="M50" s="63" t="inlineStr"/>
      <c r="N50" s="63" t="inlineStr"/>
    </row>
    <row r="51" ht="32" customHeight="1">
      <c r="A51" s="59" t="inlineStr"/>
      <c r="B51" s="59" t="inlineStr"/>
      <c r="C51" s="60" t="inlineStr"/>
      <c r="D51" s="60" t="inlineStr"/>
      <c r="E51" s="59" t="inlineStr"/>
      <c r="F51" s="64" t="inlineStr"/>
      <c r="G51" s="64" t="inlineStr"/>
      <c r="H51" s="59" t="inlineStr"/>
      <c r="I51" s="60" t="inlineStr"/>
      <c r="J51" s="60" t="inlineStr"/>
      <c r="K51" s="60" t="inlineStr"/>
      <c r="L51" s="60" t="inlineStr"/>
      <c r="M51" s="60" t="inlineStr"/>
      <c r="N51" s="60" t="inlineStr"/>
    </row>
    <row r="52" ht="32" customHeight="1">
      <c r="A52" s="62" t="inlineStr"/>
      <c r="B52" s="62" t="inlineStr"/>
      <c r="C52" s="63" t="inlineStr"/>
      <c r="D52" s="63" t="inlineStr"/>
      <c r="E52" s="62" t="inlineStr"/>
      <c r="F52" s="66" t="inlineStr"/>
      <c r="G52" s="66" t="inlineStr"/>
      <c r="H52" s="62" t="inlineStr"/>
      <c r="I52" s="63" t="inlineStr"/>
      <c r="J52" s="63" t="inlineStr"/>
      <c r="K52" s="63" t="inlineStr"/>
      <c r="L52" s="63" t="inlineStr"/>
      <c r="M52" s="63" t="inlineStr"/>
      <c r="N52" s="63" t="inlineStr"/>
    </row>
    <row r="53" ht="32" customHeight="1">
      <c r="A53" s="59" t="inlineStr"/>
      <c r="B53" s="59" t="inlineStr"/>
      <c r="C53" s="60" t="inlineStr"/>
      <c r="D53" s="60" t="inlineStr"/>
      <c r="E53" s="59" t="inlineStr"/>
      <c r="F53" s="64" t="inlineStr"/>
      <c r="G53" s="64" t="inlineStr"/>
      <c r="H53" s="59" t="inlineStr"/>
      <c r="I53" s="60" t="inlineStr"/>
      <c r="J53" s="60" t="inlineStr"/>
      <c r="K53" s="60" t="inlineStr"/>
      <c r="L53" s="60" t="inlineStr"/>
      <c r="M53" s="60" t="inlineStr"/>
      <c r="N53" s="60" t="inlineStr"/>
    </row>
    <row r="54" ht="32" customHeight="1">
      <c r="A54" s="62" t="inlineStr"/>
      <c r="B54" s="62" t="inlineStr"/>
      <c r="C54" s="63" t="inlineStr"/>
      <c r="D54" s="63" t="inlineStr"/>
      <c r="E54" s="62" t="inlineStr"/>
      <c r="F54" s="66" t="inlineStr"/>
      <c r="G54" s="66" t="inlineStr"/>
      <c r="H54" s="62" t="inlineStr"/>
      <c r="I54" s="63" t="inlineStr"/>
      <c r="J54" s="63" t="inlineStr"/>
      <c r="K54" s="63" t="inlineStr"/>
      <c r="L54" s="63" t="inlineStr"/>
      <c r="M54" s="63" t="inlineStr"/>
      <c r="N54" s="63" t="inlineStr"/>
    </row>
    <row r="55" ht="32" customHeight="1">
      <c r="A55" s="59" t="inlineStr"/>
      <c r="B55" s="59" t="inlineStr"/>
      <c r="C55" s="60" t="inlineStr"/>
      <c r="D55" s="60" t="inlineStr"/>
      <c r="E55" s="59" t="inlineStr"/>
      <c r="F55" s="64" t="inlineStr"/>
      <c r="G55" s="64" t="inlineStr"/>
      <c r="H55" s="59" t="inlineStr"/>
      <c r="I55" s="60" t="inlineStr"/>
      <c r="J55" s="60" t="inlineStr"/>
      <c r="K55" s="60" t="inlineStr"/>
      <c r="L55" s="60" t="inlineStr"/>
      <c r="M55" s="60" t="inlineStr"/>
      <c r="N55" s="60" t="inlineStr"/>
    </row>
    <row r="56" ht="32" customHeight="1">
      <c r="A56" s="62" t="inlineStr"/>
      <c r="B56" s="62" t="inlineStr"/>
      <c r="C56" s="63" t="inlineStr"/>
      <c r="D56" s="63" t="inlineStr"/>
      <c r="E56" s="62" t="inlineStr"/>
      <c r="F56" s="66" t="inlineStr"/>
      <c r="G56" s="66" t="inlineStr"/>
      <c r="H56" s="62" t="inlineStr"/>
      <c r="I56" s="63" t="inlineStr"/>
      <c r="J56" s="63" t="inlineStr"/>
      <c r="K56" s="63" t="inlineStr"/>
      <c r="L56" s="63" t="inlineStr"/>
      <c r="M56" s="63" t="inlineStr"/>
      <c r="N56" s="63" t="inlineStr"/>
    </row>
    <row r="57" ht="32" customHeight="1">
      <c r="A57" s="59" t="inlineStr"/>
      <c r="B57" s="59" t="inlineStr"/>
      <c r="C57" s="60" t="inlineStr"/>
      <c r="D57" s="60" t="inlineStr"/>
      <c r="E57" s="59" t="inlineStr"/>
      <c r="F57" s="64" t="inlineStr"/>
      <c r="G57" s="64" t="inlineStr"/>
      <c r="H57" s="59" t="inlineStr"/>
      <c r="I57" s="60" t="inlineStr"/>
      <c r="J57" s="60" t="inlineStr"/>
      <c r="K57" s="60" t="inlineStr"/>
      <c r="L57" s="60" t="inlineStr"/>
      <c r="M57" s="60" t="inlineStr"/>
      <c r="N57" s="60" t="inlineStr"/>
    </row>
    <row r="58" ht="32" customHeight="1">
      <c r="A58" s="62" t="inlineStr"/>
      <c r="B58" s="62" t="inlineStr"/>
      <c r="C58" s="63" t="inlineStr"/>
      <c r="D58" s="63" t="inlineStr"/>
      <c r="E58" s="62" t="inlineStr"/>
      <c r="F58" s="66" t="inlineStr"/>
      <c r="G58" s="66" t="inlineStr"/>
      <c r="H58" s="62" t="inlineStr"/>
      <c r="I58" s="63" t="inlineStr"/>
      <c r="J58" s="63" t="inlineStr"/>
      <c r="K58" s="63" t="inlineStr"/>
      <c r="L58" s="63" t="inlineStr"/>
      <c r="M58" s="63" t="inlineStr"/>
      <c r="N58" s="63" t="inlineStr"/>
    </row>
    <row r="59" ht="32" customHeight="1">
      <c r="A59" s="59" t="inlineStr"/>
      <c r="B59" s="59" t="inlineStr"/>
      <c r="C59" s="60" t="inlineStr"/>
      <c r="D59" s="60" t="inlineStr"/>
      <c r="E59" s="59" t="inlineStr"/>
      <c r="F59" s="64" t="inlineStr"/>
      <c r="G59" s="64" t="inlineStr"/>
      <c r="H59" s="59" t="inlineStr"/>
      <c r="I59" s="60" t="inlineStr"/>
      <c r="J59" s="60" t="inlineStr"/>
      <c r="K59" s="60" t="inlineStr"/>
      <c r="L59" s="60" t="inlineStr"/>
      <c r="M59" s="60" t="inlineStr"/>
      <c r="N59" s="60" t="inlineStr"/>
    </row>
    <row r="60" ht="32" customHeight="1">
      <c r="A60" s="62" t="inlineStr"/>
      <c r="B60" s="62" t="inlineStr"/>
      <c r="C60" s="63" t="inlineStr"/>
      <c r="D60" s="63" t="inlineStr"/>
      <c r="E60" s="62" t="inlineStr"/>
      <c r="F60" s="66" t="inlineStr"/>
      <c r="G60" s="66" t="inlineStr"/>
      <c r="H60" s="62" t="inlineStr"/>
      <c r="I60" s="63" t="inlineStr"/>
      <c r="J60" s="63" t="inlineStr"/>
      <c r="K60" s="63" t="inlineStr"/>
      <c r="L60" s="63" t="inlineStr"/>
      <c r="M60" s="63" t="inlineStr"/>
      <c r="N60" s="63" t="inlineStr"/>
    </row>
    <row r="61" ht="32" customHeight="1">
      <c r="A61" s="59" t="inlineStr"/>
      <c r="B61" s="59" t="inlineStr"/>
      <c r="C61" s="60" t="inlineStr"/>
      <c r="D61" s="60" t="inlineStr"/>
      <c r="E61" s="59" t="inlineStr"/>
      <c r="F61" s="64" t="inlineStr"/>
      <c r="G61" s="64" t="inlineStr"/>
      <c r="H61" s="59" t="inlineStr"/>
      <c r="I61" s="60" t="inlineStr"/>
      <c r="J61" s="60" t="inlineStr"/>
      <c r="K61" s="60" t="inlineStr"/>
      <c r="L61" s="60" t="inlineStr"/>
      <c r="M61" s="60" t="inlineStr"/>
      <c r="N61" s="60" t="inlineStr"/>
    </row>
    <row r="62" ht="32" customHeight="1">
      <c r="A62" s="62" t="inlineStr"/>
      <c r="B62" s="62" t="inlineStr"/>
      <c r="C62" s="63" t="inlineStr"/>
      <c r="D62" s="63" t="inlineStr"/>
      <c r="E62" s="62" t="inlineStr"/>
      <c r="F62" s="66" t="inlineStr"/>
      <c r="G62" s="66" t="inlineStr"/>
      <c r="H62" s="62" t="inlineStr"/>
      <c r="I62" s="63" t="inlineStr"/>
      <c r="J62" s="63" t="inlineStr"/>
      <c r="K62" s="63" t="inlineStr"/>
      <c r="L62" s="63" t="inlineStr"/>
      <c r="M62" s="63" t="inlineStr"/>
      <c r="N62" s="63" t="inlineStr"/>
    </row>
    <row r="63" ht="32" customHeight="1">
      <c r="A63" s="59" t="inlineStr"/>
      <c r="B63" s="59" t="inlineStr"/>
      <c r="C63" s="60" t="inlineStr"/>
      <c r="D63" s="60" t="inlineStr"/>
      <c r="E63" s="59" t="inlineStr"/>
      <c r="F63" s="64" t="inlineStr"/>
      <c r="G63" s="64" t="inlineStr"/>
      <c r="H63" s="59" t="inlineStr"/>
      <c r="I63" s="60" t="inlineStr"/>
      <c r="J63" s="60" t="inlineStr"/>
      <c r="K63" s="60" t="inlineStr"/>
      <c r="L63" s="60" t="inlineStr"/>
      <c r="M63" s="60" t="inlineStr"/>
      <c r="N63" s="60" t="inlineStr"/>
    </row>
    <row r="64" ht="32" customHeight="1">
      <c r="A64" s="62" t="inlineStr"/>
      <c r="B64" s="62" t="inlineStr"/>
      <c r="C64" s="63" t="inlineStr"/>
      <c r="D64" s="63" t="inlineStr"/>
      <c r="E64" s="62" t="inlineStr"/>
      <c r="F64" s="66" t="inlineStr"/>
      <c r="G64" s="66" t="inlineStr"/>
      <c r="H64" s="62" t="inlineStr"/>
      <c r="I64" s="63" t="inlineStr"/>
      <c r="J64" s="63" t="inlineStr"/>
      <c r="K64" s="63" t="inlineStr"/>
      <c r="L64" s="63" t="inlineStr"/>
      <c r="M64" s="63" t="inlineStr"/>
      <c r="N64" s="63" t="inlineStr"/>
    </row>
    <row r="66" ht="8" customHeight="1"/>
    <row r="67" ht="22" customHeight="1">
      <c r="A67" s="32" t="inlineStr">
        <is>
          <t>WIN / LOSS SUMMARY — Auto-Calculated</t>
        </is>
      </c>
    </row>
    <row r="68" ht="22" customHeight="1">
      <c r="A68" s="76" t="inlineStr">
        <is>
          <t>Total Proposals Submitted:</t>
        </is>
      </c>
      <c r="G68" s="77">
        <f>COUNTA(A5:A64)-COUNTBLANK(A5:A64)</f>
        <v/>
      </c>
    </row>
    <row r="69" ht="22" customHeight="1">
      <c r="A69" s="76" t="inlineStr">
        <is>
          <t>Total Won:</t>
        </is>
      </c>
      <c r="G69" s="77">
        <f>COUNTIF(E5:E64,"Won")</f>
        <v/>
      </c>
    </row>
    <row r="70" ht="22" customHeight="1">
      <c r="A70" s="76" t="inlineStr">
        <is>
          <t>Total Lost:</t>
        </is>
      </c>
      <c r="G70" s="77">
        <f>COUNTIF(E5:E64,"Lost")</f>
        <v/>
      </c>
    </row>
    <row r="71" ht="22" customHeight="1">
      <c r="A71" s="76" t="inlineStr">
        <is>
          <t>Win Rate:</t>
        </is>
      </c>
      <c r="G71" s="78">
        <f>IFERROR(COUNTIF(E5:E64,"Won")/(COUNTA(A5:A64)-COUNTBLANK(A5:A64)),"—")</f>
        <v/>
      </c>
    </row>
    <row r="72" ht="22" customHeight="1">
      <c r="A72" s="79" t="inlineStr">
        <is>
          <t>Total Won Value (AED):</t>
        </is>
      </c>
      <c r="G72" s="80">
        <f>SUMIF(E5:E64,"Won",G5:G64)</f>
        <v/>
      </c>
    </row>
    <row r="73" ht="22" customHeight="1">
      <c r="A73" s="79" t="inlineStr">
        <is>
          <t>Lost: Price/Competitor:</t>
        </is>
      </c>
      <c r="G73" s="81">
        <f>COUNTIF(I5:I64,"Price / Competitor Cheaper")+COUNTIF(J5:J64,"Price / Competitor Cheaper")</f>
        <v/>
      </c>
    </row>
    <row r="74" ht="22" customHeight="1">
      <c r="A74" s="79" t="inlineStr">
        <is>
          <t>Lost: Relationship/Known Vendor:</t>
        </is>
      </c>
      <c r="G74" s="81">
        <f>COUNTIF(I5:I64,"Relationship / Known Vendor Preferred")+COUNTIF(J5:J64,"Relationship / Known Vendor Preferred")</f>
        <v/>
      </c>
    </row>
    <row r="75" ht="22" customHeight="1">
      <c r="A75" s="79" t="inlineStr">
        <is>
          <t>Lost: Late Submission:</t>
        </is>
      </c>
      <c r="G75" s="81">
        <f>COUNTIF(I5:I64,"Proposal Submitted Late")+COUNTIF(J5:J64,"Proposal Submitted Late")</f>
        <v/>
      </c>
    </row>
    <row r="76" ht="22" customHeight="1">
      <c r="A76" s="79" t="inlineStr">
        <is>
          <t>Lost: Scope Mismatch:</t>
        </is>
      </c>
      <c r="G76" s="81">
        <f>COUNTIF(I5:I64,"Scope Mismatch")+COUNTIF(J5:J64,"Scope Mismatch")</f>
        <v/>
      </c>
    </row>
    <row r="77" ht="22" customHeight="1">
      <c r="A77" s="79" t="inlineStr">
        <is>
          <t>Lost: Technical Disqualification:</t>
        </is>
      </c>
      <c r="G77" s="81">
        <f>COUNTIF(I5:I64,"Technical Disqualification")+COUNTIF(J5:J64,"Technical Disqualification")</f>
        <v/>
      </c>
    </row>
  </sheetData>
  <mergeCells count="13">
    <mergeCell ref="A73:F73"/>
    <mergeCell ref="A71:F71"/>
    <mergeCell ref="A67:N67"/>
    <mergeCell ref="A76:F76"/>
    <mergeCell ref="A68:F68"/>
    <mergeCell ref="A2:N2"/>
    <mergeCell ref="A70:F70"/>
    <mergeCell ref="A75:F75"/>
    <mergeCell ref="A74:F74"/>
    <mergeCell ref="A72:F72"/>
    <mergeCell ref="A77:F77"/>
    <mergeCell ref="A69:F69"/>
    <mergeCell ref="A1:N1"/>
  </mergeCells>
  <dataValidations count="3">
    <dataValidation sqref="E5 E6 E7 E8 E9 E10 E11 E12 E13 E14 E15 E16 E17 E18 E19 E20 E21 E22 E23 E24 E25 E26 E27 E28 E29 E30 E31 E32 E33 E34 E35 E36 E37 E38 E39 E40 E41 E42 E43 E44 E45 E46 E47 E48 E49 E50 E51 E52 E53 E54 E55 E56 E57 E58 E59 E60 E61 E62 E63 E64" showDropDown="0" showInputMessage="0" showErrorMessage="0" allowBlank="1" type="list">
      <formula1>"Won,Lost,On Hold,Cancelled"</formula1>
    </dataValidation>
    <dataValidation sqref="I5 I6 I7 I8 I9 I10 I11 I12 I13 I14 I15 I16 I17 I18 I19 I20 I21 I22 I23 I24 I25 I26 I27 I28 I29 I30 I31 I32 I33 I34 I35 I36 I37 I38 I39 I40 I41 I42 I43 I44 I45 I46 I47 I48 I49 I50 I51 I52 I53 I54 I55 I56 I57 I58 I59 I60 I61 I62 I63 I64 J5 J6 J7 J8 J9 J10 J11 J12 J13 J14 J15 J16 J17 J18 J19 J20 J21 J22 J23 J24 J25 J26 J27 J28 J29 J30 J31 J32 J33 J34 J35 J36 J37 J38 J39 J40 J41 J42 J43 J44 J45 J46 J47 J48 J49 J50 J51 J52 J53 J54 J55 J56 J57 J58 J59 J60 J61 J62 J63 J64" showDropDown="0" showInputMessage="0" showErrorMessage="0" allowBlank="1" type="list">
      <formula1>"Price / Competitor Cheaper,Relationship / Known Vendor Preferred,Proposal Submitted Late,Scope Mismatch,Technical Disqualification,Client Budget Cancelled,Other"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showDropDown="0" showInputMessage="0" showErrorMessage="0" allowBlank="1" type="list">
      <formula1>"In-House (Estimation),Subcontractor Track"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20" customWidth="1" min="3" max="3"/>
    <col width="22" customWidth="1" min="4" max="4"/>
    <col width="14" customWidth="1" min="5" max="5"/>
    <col width="16" customWidth="1" min="6" max="6"/>
    <col width="18" customWidth="1" min="7" max="7"/>
    <col width="22" customWidth="1" min="8" max="8"/>
    <col width="14" customWidth="1" min="9" max="9"/>
    <col width="18" customWidth="1" min="10" max="10"/>
  </cols>
  <sheetData>
    <row r="1" ht="30" customHeight="1">
      <c r="A1" s="58" t="inlineStr">
        <is>
          <t>PENDING FOLLOW-UPS — [Salesperson Name]  |  Overdue items highlighted in RED automatically</t>
        </is>
      </c>
    </row>
    <row r="2" ht="16" customHeight="1">
      <c r="A2" s="2" t="inlineStr">
        <is>
          <t>Review this sheet every Monday morning before starting the week  ·  Overdue = Follow-up Date is BEFORE today and status is still open</t>
        </is>
      </c>
    </row>
    <row r="3" ht="6" customHeight="1"/>
    <row r="4" ht="36" customHeight="1">
      <c r="A4" s="75" t="inlineStr">
        <is>
          <t>Follow-up Date</t>
        </is>
      </c>
      <c r="B4" s="7" t="inlineStr">
        <is>
          <t>Company / Project</t>
        </is>
      </c>
      <c r="C4" s="7" t="inlineStr">
        <is>
          <t>Contact Person</t>
        </is>
      </c>
      <c r="D4" s="7" t="inlineStr">
        <is>
          <t>What was agreed / next step</t>
        </is>
      </c>
      <c r="E4" s="7" t="inlineStr">
        <is>
          <t>Inquiry ID
(if raised)</t>
        </is>
      </c>
      <c r="F4" s="75" t="inlineStr">
        <is>
          <t>Days Overdue</t>
        </is>
      </c>
      <c r="G4" s="7" t="inlineStr">
        <is>
          <t>Status</t>
        </is>
      </c>
      <c r="H4" s="7" t="inlineStr">
        <is>
          <t>Action Taken</t>
        </is>
      </c>
      <c r="I4" s="7" t="inlineStr">
        <is>
          <t>Completed?
(Y/N)</t>
        </is>
      </c>
      <c r="J4" s="7" t="inlineStr">
        <is>
          <t>Manager Note</t>
        </is>
      </c>
    </row>
    <row r="5" ht="30" customHeight="1">
      <c r="A5" s="59" t="inlineStr"/>
      <c r="B5" s="60" t="inlineStr"/>
      <c r="C5" s="60" t="inlineStr"/>
      <c r="D5" s="60" t="inlineStr"/>
      <c r="E5" s="59" t="inlineStr"/>
      <c r="F5" s="82">
        <f>IFERROR(IF(A5="","",IF(I5="Yes","Done",TODAY()-A5)),"")</f>
        <v/>
      </c>
      <c r="G5" s="60" t="inlineStr"/>
      <c r="H5" s="60" t="inlineStr"/>
      <c r="I5" s="59" t="inlineStr"/>
      <c r="J5" s="60" t="inlineStr"/>
    </row>
    <row r="6" ht="30" customHeight="1">
      <c r="A6" s="62" t="inlineStr"/>
      <c r="B6" s="63" t="inlineStr"/>
      <c r="C6" s="63" t="inlineStr"/>
      <c r="D6" s="63" t="inlineStr"/>
      <c r="E6" s="62" t="inlineStr"/>
      <c r="F6" s="82">
        <f>IFERROR(IF(A6="","",IF(I6="Yes","Done",TODAY()-A6)),"")</f>
        <v/>
      </c>
      <c r="G6" s="63" t="inlineStr"/>
      <c r="H6" s="63" t="inlineStr"/>
      <c r="I6" s="62" t="inlineStr"/>
      <c r="J6" s="63" t="inlineStr"/>
    </row>
    <row r="7" ht="30" customHeight="1">
      <c r="A7" s="59" t="inlineStr"/>
      <c r="B7" s="60" t="inlineStr"/>
      <c r="C7" s="60" t="inlineStr"/>
      <c r="D7" s="60" t="inlineStr"/>
      <c r="E7" s="59" t="inlineStr"/>
      <c r="F7" s="82">
        <f>IFERROR(IF(A7="","",IF(I7="Yes","Done",TODAY()-A7)),"")</f>
        <v/>
      </c>
      <c r="G7" s="60" t="inlineStr"/>
      <c r="H7" s="60" t="inlineStr"/>
      <c r="I7" s="59" t="inlineStr"/>
      <c r="J7" s="60" t="inlineStr"/>
    </row>
    <row r="8" ht="30" customHeight="1">
      <c r="A8" s="62" t="inlineStr"/>
      <c r="B8" s="63" t="inlineStr"/>
      <c r="C8" s="63" t="inlineStr"/>
      <c r="D8" s="63" t="inlineStr"/>
      <c r="E8" s="62" t="inlineStr"/>
      <c r="F8" s="82">
        <f>IFERROR(IF(A8="","",IF(I8="Yes","Done",TODAY()-A8)),"")</f>
        <v/>
      </c>
      <c r="G8" s="63" t="inlineStr"/>
      <c r="H8" s="63" t="inlineStr"/>
      <c r="I8" s="62" t="inlineStr"/>
      <c r="J8" s="63" t="inlineStr"/>
    </row>
    <row r="9" ht="30" customHeight="1">
      <c r="A9" s="59" t="inlineStr"/>
      <c r="B9" s="60" t="inlineStr"/>
      <c r="C9" s="60" t="inlineStr"/>
      <c r="D9" s="60" t="inlineStr"/>
      <c r="E9" s="59" t="inlineStr"/>
      <c r="F9" s="82">
        <f>IFERROR(IF(A9="","",IF(I9="Yes","Done",TODAY()-A9)),"")</f>
        <v/>
      </c>
      <c r="G9" s="60" t="inlineStr"/>
      <c r="H9" s="60" t="inlineStr"/>
      <c r="I9" s="59" t="inlineStr"/>
      <c r="J9" s="60" t="inlineStr"/>
    </row>
    <row r="10" ht="30" customHeight="1">
      <c r="A10" s="62" t="inlineStr"/>
      <c r="B10" s="63" t="inlineStr"/>
      <c r="C10" s="63" t="inlineStr"/>
      <c r="D10" s="63" t="inlineStr"/>
      <c r="E10" s="62" t="inlineStr"/>
      <c r="F10" s="82">
        <f>IFERROR(IF(A10="","",IF(I10="Yes","Done",TODAY()-A10)),"")</f>
        <v/>
      </c>
      <c r="G10" s="63" t="inlineStr"/>
      <c r="H10" s="63" t="inlineStr"/>
      <c r="I10" s="62" t="inlineStr"/>
      <c r="J10" s="63" t="inlineStr"/>
    </row>
    <row r="11" ht="30" customHeight="1">
      <c r="A11" s="59" t="inlineStr"/>
      <c r="B11" s="60" t="inlineStr"/>
      <c r="C11" s="60" t="inlineStr"/>
      <c r="D11" s="60" t="inlineStr"/>
      <c r="E11" s="59" t="inlineStr"/>
      <c r="F11" s="82">
        <f>IFERROR(IF(A11="","",IF(I11="Yes","Done",TODAY()-A11)),"")</f>
        <v/>
      </c>
      <c r="G11" s="60" t="inlineStr"/>
      <c r="H11" s="60" t="inlineStr"/>
      <c r="I11" s="59" t="inlineStr"/>
      <c r="J11" s="60" t="inlineStr"/>
    </row>
    <row r="12" ht="30" customHeight="1">
      <c r="A12" s="62" t="inlineStr"/>
      <c r="B12" s="63" t="inlineStr"/>
      <c r="C12" s="63" t="inlineStr"/>
      <c r="D12" s="63" t="inlineStr"/>
      <c r="E12" s="62" t="inlineStr"/>
      <c r="F12" s="82">
        <f>IFERROR(IF(A12="","",IF(I12="Yes","Done",TODAY()-A12)),"")</f>
        <v/>
      </c>
      <c r="G12" s="63" t="inlineStr"/>
      <c r="H12" s="63" t="inlineStr"/>
      <c r="I12" s="62" t="inlineStr"/>
      <c r="J12" s="63" t="inlineStr"/>
    </row>
    <row r="13" ht="30" customHeight="1">
      <c r="A13" s="59" t="inlineStr"/>
      <c r="B13" s="60" t="inlineStr"/>
      <c r="C13" s="60" t="inlineStr"/>
      <c r="D13" s="60" t="inlineStr"/>
      <c r="E13" s="59" t="inlineStr"/>
      <c r="F13" s="82">
        <f>IFERROR(IF(A13="","",IF(I13="Yes","Done",TODAY()-A13)),"")</f>
        <v/>
      </c>
      <c r="G13" s="60" t="inlineStr"/>
      <c r="H13" s="60" t="inlineStr"/>
      <c r="I13" s="59" t="inlineStr"/>
      <c r="J13" s="60" t="inlineStr"/>
    </row>
    <row r="14" ht="30" customHeight="1">
      <c r="A14" s="62" t="inlineStr"/>
      <c r="B14" s="63" t="inlineStr"/>
      <c r="C14" s="63" t="inlineStr"/>
      <c r="D14" s="63" t="inlineStr"/>
      <c r="E14" s="62" t="inlineStr"/>
      <c r="F14" s="82">
        <f>IFERROR(IF(A14="","",IF(I14="Yes","Done",TODAY()-A14)),"")</f>
        <v/>
      </c>
      <c r="G14" s="63" t="inlineStr"/>
      <c r="H14" s="63" t="inlineStr"/>
      <c r="I14" s="62" t="inlineStr"/>
      <c r="J14" s="63" t="inlineStr"/>
    </row>
    <row r="15" ht="30" customHeight="1">
      <c r="A15" s="59" t="inlineStr"/>
      <c r="B15" s="60" t="inlineStr"/>
      <c r="C15" s="60" t="inlineStr"/>
      <c r="D15" s="60" t="inlineStr"/>
      <c r="E15" s="59" t="inlineStr"/>
      <c r="F15" s="82">
        <f>IFERROR(IF(A15="","",IF(I15="Yes","Done",TODAY()-A15)),"")</f>
        <v/>
      </c>
      <c r="G15" s="60" t="inlineStr"/>
      <c r="H15" s="60" t="inlineStr"/>
      <c r="I15" s="59" t="inlineStr"/>
      <c r="J15" s="60" t="inlineStr"/>
    </row>
    <row r="16" ht="30" customHeight="1">
      <c r="A16" s="62" t="inlineStr"/>
      <c r="B16" s="63" t="inlineStr"/>
      <c r="C16" s="63" t="inlineStr"/>
      <c r="D16" s="63" t="inlineStr"/>
      <c r="E16" s="62" t="inlineStr"/>
      <c r="F16" s="82">
        <f>IFERROR(IF(A16="","",IF(I16="Yes","Done",TODAY()-A16)),"")</f>
        <v/>
      </c>
      <c r="G16" s="63" t="inlineStr"/>
      <c r="H16" s="63" t="inlineStr"/>
      <c r="I16" s="62" t="inlineStr"/>
      <c r="J16" s="63" t="inlineStr"/>
    </row>
    <row r="17" ht="30" customHeight="1">
      <c r="A17" s="59" t="inlineStr"/>
      <c r="B17" s="60" t="inlineStr"/>
      <c r="C17" s="60" t="inlineStr"/>
      <c r="D17" s="60" t="inlineStr"/>
      <c r="E17" s="59" t="inlineStr"/>
      <c r="F17" s="82">
        <f>IFERROR(IF(A17="","",IF(I17="Yes","Done",TODAY()-A17)),"")</f>
        <v/>
      </c>
      <c r="G17" s="60" t="inlineStr"/>
      <c r="H17" s="60" t="inlineStr"/>
      <c r="I17" s="59" t="inlineStr"/>
      <c r="J17" s="60" t="inlineStr"/>
    </row>
    <row r="18" ht="30" customHeight="1">
      <c r="A18" s="62" t="inlineStr"/>
      <c r="B18" s="63" t="inlineStr"/>
      <c r="C18" s="63" t="inlineStr"/>
      <c r="D18" s="63" t="inlineStr"/>
      <c r="E18" s="62" t="inlineStr"/>
      <c r="F18" s="82">
        <f>IFERROR(IF(A18="","",IF(I18="Yes","Done",TODAY()-A18)),"")</f>
        <v/>
      </c>
      <c r="G18" s="63" t="inlineStr"/>
      <c r="H18" s="63" t="inlineStr"/>
      <c r="I18" s="62" t="inlineStr"/>
      <c r="J18" s="63" t="inlineStr"/>
    </row>
    <row r="19" ht="30" customHeight="1">
      <c r="A19" s="59" t="inlineStr"/>
      <c r="B19" s="60" t="inlineStr"/>
      <c r="C19" s="60" t="inlineStr"/>
      <c r="D19" s="60" t="inlineStr"/>
      <c r="E19" s="59" t="inlineStr"/>
      <c r="F19" s="82">
        <f>IFERROR(IF(A19="","",IF(I19="Yes","Done",TODAY()-A19)),"")</f>
        <v/>
      </c>
      <c r="G19" s="60" t="inlineStr"/>
      <c r="H19" s="60" t="inlineStr"/>
      <c r="I19" s="59" t="inlineStr"/>
      <c r="J19" s="60" t="inlineStr"/>
    </row>
    <row r="20" ht="30" customHeight="1">
      <c r="A20" s="62" t="inlineStr"/>
      <c r="B20" s="63" t="inlineStr"/>
      <c r="C20" s="63" t="inlineStr"/>
      <c r="D20" s="63" t="inlineStr"/>
      <c r="E20" s="62" t="inlineStr"/>
      <c r="F20" s="82">
        <f>IFERROR(IF(A20="","",IF(I20="Yes","Done",TODAY()-A20)),"")</f>
        <v/>
      </c>
      <c r="G20" s="63" t="inlineStr"/>
      <c r="H20" s="63" t="inlineStr"/>
      <c r="I20" s="62" t="inlineStr"/>
      <c r="J20" s="63" t="inlineStr"/>
    </row>
    <row r="21" ht="30" customHeight="1">
      <c r="A21" s="59" t="inlineStr"/>
      <c r="B21" s="60" t="inlineStr"/>
      <c r="C21" s="60" t="inlineStr"/>
      <c r="D21" s="60" t="inlineStr"/>
      <c r="E21" s="59" t="inlineStr"/>
      <c r="F21" s="82">
        <f>IFERROR(IF(A21="","",IF(I21="Yes","Done",TODAY()-A21)),"")</f>
        <v/>
      </c>
      <c r="G21" s="60" t="inlineStr"/>
      <c r="H21" s="60" t="inlineStr"/>
      <c r="I21" s="59" t="inlineStr"/>
      <c r="J21" s="60" t="inlineStr"/>
    </row>
    <row r="22" ht="30" customHeight="1">
      <c r="A22" s="62" t="inlineStr"/>
      <c r="B22" s="63" t="inlineStr"/>
      <c r="C22" s="63" t="inlineStr"/>
      <c r="D22" s="63" t="inlineStr"/>
      <c r="E22" s="62" t="inlineStr"/>
      <c r="F22" s="82">
        <f>IFERROR(IF(A22="","",IF(I22="Yes","Done",TODAY()-A22)),"")</f>
        <v/>
      </c>
      <c r="G22" s="63" t="inlineStr"/>
      <c r="H22" s="63" t="inlineStr"/>
      <c r="I22" s="62" t="inlineStr"/>
      <c r="J22" s="63" t="inlineStr"/>
    </row>
    <row r="23" ht="30" customHeight="1">
      <c r="A23" s="59" t="inlineStr"/>
      <c r="B23" s="60" t="inlineStr"/>
      <c r="C23" s="60" t="inlineStr"/>
      <c r="D23" s="60" t="inlineStr"/>
      <c r="E23" s="59" t="inlineStr"/>
      <c r="F23" s="82">
        <f>IFERROR(IF(A23="","",IF(I23="Yes","Done",TODAY()-A23)),"")</f>
        <v/>
      </c>
      <c r="G23" s="60" t="inlineStr"/>
      <c r="H23" s="60" t="inlineStr"/>
      <c r="I23" s="59" t="inlineStr"/>
      <c r="J23" s="60" t="inlineStr"/>
    </row>
    <row r="24" ht="30" customHeight="1">
      <c r="A24" s="62" t="inlineStr"/>
      <c r="B24" s="63" t="inlineStr"/>
      <c r="C24" s="63" t="inlineStr"/>
      <c r="D24" s="63" t="inlineStr"/>
      <c r="E24" s="62" t="inlineStr"/>
      <c r="F24" s="82">
        <f>IFERROR(IF(A24="","",IF(I24="Yes","Done",TODAY()-A24)),"")</f>
        <v/>
      </c>
      <c r="G24" s="63" t="inlineStr"/>
      <c r="H24" s="63" t="inlineStr"/>
      <c r="I24" s="62" t="inlineStr"/>
      <c r="J24" s="63" t="inlineStr"/>
    </row>
    <row r="25" ht="30" customHeight="1">
      <c r="A25" s="59" t="inlineStr"/>
      <c r="B25" s="60" t="inlineStr"/>
      <c r="C25" s="60" t="inlineStr"/>
      <c r="D25" s="60" t="inlineStr"/>
      <c r="E25" s="59" t="inlineStr"/>
      <c r="F25" s="82">
        <f>IFERROR(IF(A25="","",IF(I25="Yes","Done",TODAY()-A25)),"")</f>
        <v/>
      </c>
      <c r="G25" s="60" t="inlineStr"/>
      <c r="H25" s="60" t="inlineStr"/>
      <c r="I25" s="59" t="inlineStr"/>
      <c r="J25" s="60" t="inlineStr"/>
    </row>
    <row r="26" ht="30" customHeight="1">
      <c r="A26" s="62" t="inlineStr"/>
      <c r="B26" s="63" t="inlineStr"/>
      <c r="C26" s="63" t="inlineStr"/>
      <c r="D26" s="63" t="inlineStr"/>
      <c r="E26" s="62" t="inlineStr"/>
      <c r="F26" s="82">
        <f>IFERROR(IF(A26="","",IF(I26="Yes","Done",TODAY()-A26)),"")</f>
        <v/>
      </c>
      <c r="G26" s="63" t="inlineStr"/>
      <c r="H26" s="63" t="inlineStr"/>
      <c r="I26" s="62" t="inlineStr"/>
      <c r="J26" s="63" t="inlineStr"/>
    </row>
    <row r="27" ht="30" customHeight="1">
      <c r="A27" s="59" t="inlineStr"/>
      <c r="B27" s="60" t="inlineStr"/>
      <c r="C27" s="60" t="inlineStr"/>
      <c r="D27" s="60" t="inlineStr"/>
      <c r="E27" s="59" t="inlineStr"/>
      <c r="F27" s="82">
        <f>IFERROR(IF(A27="","",IF(I27="Yes","Done",TODAY()-A27)),"")</f>
        <v/>
      </c>
      <c r="G27" s="60" t="inlineStr"/>
      <c r="H27" s="60" t="inlineStr"/>
      <c r="I27" s="59" t="inlineStr"/>
      <c r="J27" s="60" t="inlineStr"/>
    </row>
    <row r="28" ht="30" customHeight="1">
      <c r="A28" s="62" t="inlineStr"/>
      <c r="B28" s="63" t="inlineStr"/>
      <c r="C28" s="63" t="inlineStr"/>
      <c r="D28" s="63" t="inlineStr"/>
      <c r="E28" s="62" t="inlineStr"/>
      <c r="F28" s="82">
        <f>IFERROR(IF(A28="","",IF(I28="Yes","Done",TODAY()-A28)),"")</f>
        <v/>
      </c>
      <c r="G28" s="63" t="inlineStr"/>
      <c r="H28" s="63" t="inlineStr"/>
      <c r="I28" s="62" t="inlineStr"/>
      <c r="J28" s="63" t="inlineStr"/>
    </row>
    <row r="29" ht="30" customHeight="1">
      <c r="A29" s="59" t="inlineStr"/>
      <c r="B29" s="60" t="inlineStr"/>
      <c r="C29" s="60" t="inlineStr"/>
      <c r="D29" s="60" t="inlineStr"/>
      <c r="E29" s="59" t="inlineStr"/>
      <c r="F29" s="82">
        <f>IFERROR(IF(A29="","",IF(I29="Yes","Done",TODAY()-A29)),"")</f>
        <v/>
      </c>
      <c r="G29" s="60" t="inlineStr"/>
      <c r="H29" s="60" t="inlineStr"/>
      <c r="I29" s="59" t="inlineStr"/>
      <c r="J29" s="60" t="inlineStr"/>
    </row>
    <row r="30" ht="30" customHeight="1">
      <c r="A30" s="62" t="inlineStr"/>
      <c r="B30" s="63" t="inlineStr"/>
      <c r="C30" s="63" t="inlineStr"/>
      <c r="D30" s="63" t="inlineStr"/>
      <c r="E30" s="62" t="inlineStr"/>
      <c r="F30" s="82">
        <f>IFERROR(IF(A30="","",IF(I30="Yes","Done",TODAY()-A30)),"")</f>
        <v/>
      </c>
      <c r="G30" s="63" t="inlineStr"/>
      <c r="H30" s="63" t="inlineStr"/>
      <c r="I30" s="62" t="inlineStr"/>
      <c r="J30" s="63" t="inlineStr"/>
    </row>
    <row r="31" ht="30" customHeight="1">
      <c r="A31" s="59" t="inlineStr"/>
      <c r="B31" s="60" t="inlineStr"/>
      <c r="C31" s="60" t="inlineStr"/>
      <c r="D31" s="60" t="inlineStr"/>
      <c r="E31" s="59" t="inlineStr"/>
      <c r="F31" s="82">
        <f>IFERROR(IF(A31="","",IF(I31="Yes","Done",TODAY()-A31)),"")</f>
        <v/>
      </c>
      <c r="G31" s="60" t="inlineStr"/>
      <c r="H31" s="60" t="inlineStr"/>
      <c r="I31" s="59" t="inlineStr"/>
      <c r="J31" s="60" t="inlineStr"/>
    </row>
    <row r="32" ht="30" customHeight="1">
      <c r="A32" s="62" t="inlineStr"/>
      <c r="B32" s="63" t="inlineStr"/>
      <c r="C32" s="63" t="inlineStr"/>
      <c r="D32" s="63" t="inlineStr"/>
      <c r="E32" s="62" t="inlineStr"/>
      <c r="F32" s="82">
        <f>IFERROR(IF(A32="","",IF(I32="Yes","Done",TODAY()-A32)),"")</f>
        <v/>
      </c>
      <c r="G32" s="63" t="inlineStr"/>
      <c r="H32" s="63" t="inlineStr"/>
      <c r="I32" s="62" t="inlineStr"/>
      <c r="J32" s="63" t="inlineStr"/>
    </row>
    <row r="33" ht="30" customHeight="1">
      <c r="A33" s="59" t="inlineStr"/>
      <c r="B33" s="60" t="inlineStr"/>
      <c r="C33" s="60" t="inlineStr"/>
      <c r="D33" s="60" t="inlineStr"/>
      <c r="E33" s="59" t="inlineStr"/>
      <c r="F33" s="82">
        <f>IFERROR(IF(A33="","",IF(I33="Yes","Done",TODAY()-A33)),"")</f>
        <v/>
      </c>
      <c r="G33" s="60" t="inlineStr"/>
      <c r="H33" s="60" t="inlineStr"/>
      <c r="I33" s="59" t="inlineStr"/>
      <c r="J33" s="60" t="inlineStr"/>
    </row>
    <row r="34" ht="30" customHeight="1">
      <c r="A34" s="62" t="inlineStr"/>
      <c r="B34" s="63" t="inlineStr"/>
      <c r="C34" s="63" t="inlineStr"/>
      <c r="D34" s="63" t="inlineStr"/>
      <c r="E34" s="62" t="inlineStr"/>
      <c r="F34" s="82">
        <f>IFERROR(IF(A34="","",IF(I34="Yes","Done",TODAY()-A34)),"")</f>
        <v/>
      </c>
      <c r="G34" s="63" t="inlineStr"/>
      <c r="H34" s="63" t="inlineStr"/>
      <c r="I34" s="62" t="inlineStr"/>
      <c r="J34" s="63" t="inlineStr"/>
    </row>
    <row r="35" ht="30" customHeight="1">
      <c r="A35" s="59" t="inlineStr"/>
      <c r="B35" s="60" t="inlineStr"/>
      <c r="C35" s="60" t="inlineStr"/>
      <c r="D35" s="60" t="inlineStr"/>
      <c r="E35" s="59" t="inlineStr"/>
      <c r="F35" s="82">
        <f>IFERROR(IF(A35="","",IF(I35="Yes","Done",TODAY()-A35)),"")</f>
        <v/>
      </c>
      <c r="G35" s="60" t="inlineStr"/>
      <c r="H35" s="60" t="inlineStr"/>
      <c r="I35" s="59" t="inlineStr"/>
      <c r="J35" s="60" t="inlineStr"/>
    </row>
    <row r="36" ht="30" customHeight="1">
      <c r="A36" s="62" t="inlineStr"/>
      <c r="B36" s="63" t="inlineStr"/>
      <c r="C36" s="63" t="inlineStr"/>
      <c r="D36" s="63" t="inlineStr"/>
      <c r="E36" s="62" t="inlineStr"/>
      <c r="F36" s="82">
        <f>IFERROR(IF(A36="","",IF(I36="Yes","Done",TODAY()-A36)),"")</f>
        <v/>
      </c>
      <c r="G36" s="63" t="inlineStr"/>
      <c r="H36" s="63" t="inlineStr"/>
      <c r="I36" s="62" t="inlineStr"/>
      <c r="J36" s="63" t="inlineStr"/>
    </row>
    <row r="37" ht="30" customHeight="1">
      <c r="A37" s="59" t="inlineStr"/>
      <c r="B37" s="60" t="inlineStr"/>
      <c r="C37" s="60" t="inlineStr"/>
      <c r="D37" s="60" t="inlineStr"/>
      <c r="E37" s="59" t="inlineStr"/>
      <c r="F37" s="82">
        <f>IFERROR(IF(A37="","",IF(I37="Yes","Done",TODAY()-A37)),"")</f>
        <v/>
      </c>
      <c r="G37" s="60" t="inlineStr"/>
      <c r="H37" s="60" t="inlineStr"/>
      <c r="I37" s="59" t="inlineStr"/>
      <c r="J37" s="60" t="inlineStr"/>
    </row>
    <row r="38" ht="30" customHeight="1">
      <c r="A38" s="62" t="inlineStr"/>
      <c r="B38" s="63" t="inlineStr"/>
      <c r="C38" s="63" t="inlineStr"/>
      <c r="D38" s="63" t="inlineStr"/>
      <c r="E38" s="62" t="inlineStr"/>
      <c r="F38" s="82">
        <f>IFERROR(IF(A38="","",IF(I38="Yes","Done",TODAY()-A38)),"")</f>
        <v/>
      </c>
      <c r="G38" s="63" t="inlineStr"/>
      <c r="H38" s="63" t="inlineStr"/>
      <c r="I38" s="62" t="inlineStr"/>
      <c r="J38" s="63" t="inlineStr"/>
    </row>
    <row r="39" ht="30" customHeight="1">
      <c r="A39" s="59" t="inlineStr"/>
      <c r="B39" s="60" t="inlineStr"/>
      <c r="C39" s="60" t="inlineStr"/>
      <c r="D39" s="60" t="inlineStr"/>
      <c r="E39" s="59" t="inlineStr"/>
      <c r="F39" s="82">
        <f>IFERROR(IF(A39="","",IF(I39="Yes","Done",TODAY()-A39)),"")</f>
        <v/>
      </c>
      <c r="G39" s="60" t="inlineStr"/>
      <c r="H39" s="60" t="inlineStr"/>
      <c r="I39" s="59" t="inlineStr"/>
      <c r="J39" s="60" t="inlineStr"/>
    </row>
    <row r="40" ht="30" customHeight="1">
      <c r="A40" s="62" t="inlineStr"/>
      <c r="B40" s="63" t="inlineStr"/>
      <c r="C40" s="63" t="inlineStr"/>
      <c r="D40" s="63" t="inlineStr"/>
      <c r="E40" s="62" t="inlineStr"/>
      <c r="F40" s="82">
        <f>IFERROR(IF(A40="","",IF(I40="Yes","Done",TODAY()-A40)),"")</f>
        <v/>
      </c>
      <c r="G40" s="63" t="inlineStr"/>
      <c r="H40" s="63" t="inlineStr"/>
      <c r="I40" s="62" t="inlineStr"/>
      <c r="J40" s="63" t="inlineStr"/>
    </row>
    <row r="41" ht="30" customHeight="1">
      <c r="A41" s="59" t="inlineStr"/>
      <c r="B41" s="60" t="inlineStr"/>
      <c r="C41" s="60" t="inlineStr"/>
      <c r="D41" s="60" t="inlineStr"/>
      <c r="E41" s="59" t="inlineStr"/>
      <c r="F41" s="82">
        <f>IFERROR(IF(A41="","",IF(I41="Yes","Done",TODAY()-A41)),"")</f>
        <v/>
      </c>
      <c r="G41" s="60" t="inlineStr"/>
      <c r="H41" s="60" t="inlineStr"/>
      <c r="I41" s="59" t="inlineStr"/>
      <c r="J41" s="60" t="inlineStr"/>
    </row>
    <row r="42" ht="30" customHeight="1">
      <c r="A42" s="62" t="inlineStr"/>
      <c r="B42" s="63" t="inlineStr"/>
      <c r="C42" s="63" t="inlineStr"/>
      <c r="D42" s="63" t="inlineStr"/>
      <c r="E42" s="62" t="inlineStr"/>
      <c r="F42" s="82">
        <f>IFERROR(IF(A42="","",IF(I42="Yes","Done",TODAY()-A42)),"")</f>
        <v/>
      </c>
      <c r="G42" s="63" t="inlineStr"/>
      <c r="H42" s="63" t="inlineStr"/>
      <c r="I42" s="62" t="inlineStr"/>
      <c r="J42" s="63" t="inlineStr"/>
    </row>
    <row r="43" ht="30" customHeight="1">
      <c r="A43" s="59" t="inlineStr"/>
      <c r="B43" s="60" t="inlineStr"/>
      <c r="C43" s="60" t="inlineStr"/>
      <c r="D43" s="60" t="inlineStr"/>
      <c r="E43" s="59" t="inlineStr"/>
      <c r="F43" s="82">
        <f>IFERROR(IF(A43="","",IF(I43="Yes","Done",TODAY()-A43)),"")</f>
        <v/>
      </c>
      <c r="G43" s="60" t="inlineStr"/>
      <c r="H43" s="60" t="inlineStr"/>
      <c r="I43" s="59" t="inlineStr"/>
      <c r="J43" s="60" t="inlineStr"/>
    </row>
    <row r="44" ht="30" customHeight="1">
      <c r="A44" s="62" t="inlineStr"/>
      <c r="B44" s="63" t="inlineStr"/>
      <c r="C44" s="63" t="inlineStr"/>
      <c r="D44" s="63" t="inlineStr"/>
      <c r="E44" s="62" t="inlineStr"/>
      <c r="F44" s="82">
        <f>IFERROR(IF(A44="","",IF(I44="Yes","Done",TODAY()-A44)),"")</f>
        <v/>
      </c>
      <c r="G44" s="63" t="inlineStr"/>
      <c r="H44" s="63" t="inlineStr"/>
      <c r="I44" s="62" t="inlineStr"/>
      <c r="J44" s="63" t="inlineStr"/>
    </row>
    <row r="45" ht="30" customHeight="1">
      <c r="A45" s="59" t="inlineStr"/>
      <c r="B45" s="60" t="inlineStr"/>
      <c r="C45" s="60" t="inlineStr"/>
      <c r="D45" s="60" t="inlineStr"/>
      <c r="E45" s="59" t="inlineStr"/>
      <c r="F45" s="82">
        <f>IFERROR(IF(A45="","",IF(I45="Yes","Done",TODAY()-A45)),"")</f>
        <v/>
      </c>
      <c r="G45" s="60" t="inlineStr"/>
      <c r="H45" s="60" t="inlineStr"/>
      <c r="I45" s="59" t="inlineStr"/>
      <c r="J45" s="60" t="inlineStr"/>
    </row>
    <row r="46" ht="30" customHeight="1">
      <c r="A46" s="62" t="inlineStr"/>
      <c r="B46" s="63" t="inlineStr"/>
      <c r="C46" s="63" t="inlineStr"/>
      <c r="D46" s="63" t="inlineStr"/>
      <c r="E46" s="62" t="inlineStr"/>
      <c r="F46" s="82">
        <f>IFERROR(IF(A46="","",IF(I46="Yes","Done",TODAY()-A46)),"")</f>
        <v/>
      </c>
      <c r="G46" s="63" t="inlineStr"/>
      <c r="H46" s="63" t="inlineStr"/>
      <c r="I46" s="62" t="inlineStr"/>
      <c r="J46" s="63" t="inlineStr"/>
    </row>
    <row r="47" ht="30" customHeight="1">
      <c r="A47" s="59" t="inlineStr"/>
      <c r="B47" s="60" t="inlineStr"/>
      <c r="C47" s="60" t="inlineStr"/>
      <c r="D47" s="60" t="inlineStr"/>
      <c r="E47" s="59" t="inlineStr"/>
      <c r="F47" s="82">
        <f>IFERROR(IF(A47="","",IF(I47="Yes","Done",TODAY()-A47)),"")</f>
        <v/>
      </c>
      <c r="G47" s="60" t="inlineStr"/>
      <c r="H47" s="60" t="inlineStr"/>
      <c r="I47" s="59" t="inlineStr"/>
      <c r="J47" s="60" t="inlineStr"/>
    </row>
    <row r="48" ht="30" customHeight="1">
      <c r="A48" s="62" t="inlineStr"/>
      <c r="B48" s="63" t="inlineStr"/>
      <c r="C48" s="63" t="inlineStr"/>
      <c r="D48" s="63" t="inlineStr"/>
      <c r="E48" s="62" t="inlineStr"/>
      <c r="F48" s="82">
        <f>IFERROR(IF(A48="","",IF(I48="Yes","Done",TODAY()-A48)),"")</f>
        <v/>
      </c>
      <c r="G48" s="63" t="inlineStr"/>
      <c r="H48" s="63" t="inlineStr"/>
      <c r="I48" s="62" t="inlineStr"/>
      <c r="J48" s="63" t="inlineStr"/>
    </row>
    <row r="49" ht="30" customHeight="1">
      <c r="A49" s="59" t="inlineStr"/>
      <c r="B49" s="60" t="inlineStr"/>
      <c r="C49" s="60" t="inlineStr"/>
      <c r="D49" s="60" t="inlineStr"/>
      <c r="E49" s="59" t="inlineStr"/>
      <c r="F49" s="82">
        <f>IFERROR(IF(A49="","",IF(I49="Yes","Done",TODAY()-A49)),"")</f>
        <v/>
      </c>
      <c r="G49" s="60" t="inlineStr"/>
      <c r="H49" s="60" t="inlineStr"/>
      <c r="I49" s="59" t="inlineStr"/>
      <c r="J49" s="60" t="inlineStr"/>
    </row>
    <row r="50" ht="30" customHeight="1">
      <c r="A50" s="62" t="inlineStr"/>
      <c r="B50" s="63" t="inlineStr"/>
      <c r="C50" s="63" t="inlineStr"/>
      <c r="D50" s="63" t="inlineStr"/>
      <c r="E50" s="62" t="inlineStr"/>
      <c r="F50" s="82">
        <f>IFERROR(IF(A50="","",IF(I50="Yes","Done",TODAY()-A50)),"")</f>
        <v/>
      </c>
      <c r="G50" s="63" t="inlineStr"/>
      <c r="H50" s="63" t="inlineStr"/>
      <c r="I50" s="62" t="inlineStr"/>
      <c r="J50" s="63" t="inlineStr"/>
    </row>
    <row r="51" ht="30" customHeight="1">
      <c r="A51" s="59" t="inlineStr"/>
      <c r="B51" s="60" t="inlineStr"/>
      <c r="C51" s="60" t="inlineStr"/>
      <c r="D51" s="60" t="inlineStr"/>
      <c r="E51" s="59" t="inlineStr"/>
      <c r="F51" s="82">
        <f>IFERROR(IF(A51="","",IF(I51="Yes","Done",TODAY()-A51)),"")</f>
        <v/>
      </c>
      <c r="G51" s="60" t="inlineStr"/>
      <c r="H51" s="60" t="inlineStr"/>
      <c r="I51" s="59" t="inlineStr"/>
      <c r="J51" s="60" t="inlineStr"/>
    </row>
    <row r="52" ht="30" customHeight="1">
      <c r="A52" s="62" t="inlineStr"/>
      <c r="B52" s="63" t="inlineStr"/>
      <c r="C52" s="63" t="inlineStr"/>
      <c r="D52" s="63" t="inlineStr"/>
      <c r="E52" s="62" t="inlineStr"/>
      <c r="F52" s="82">
        <f>IFERROR(IF(A52="","",IF(I52="Yes","Done",TODAY()-A52)),"")</f>
        <v/>
      </c>
      <c r="G52" s="63" t="inlineStr"/>
      <c r="H52" s="63" t="inlineStr"/>
      <c r="I52" s="62" t="inlineStr"/>
      <c r="J52" s="63" t="inlineStr"/>
    </row>
    <row r="53" ht="30" customHeight="1">
      <c r="A53" s="59" t="inlineStr"/>
      <c r="B53" s="60" t="inlineStr"/>
      <c r="C53" s="60" t="inlineStr"/>
      <c r="D53" s="60" t="inlineStr"/>
      <c r="E53" s="59" t="inlineStr"/>
      <c r="F53" s="82">
        <f>IFERROR(IF(A53="","",IF(I53="Yes","Done",TODAY()-A53)),"")</f>
        <v/>
      </c>
      <c r="G53" s="60" t="inlineStr"/>
      <c r="H53" s="60" t="inlineStr"/>
      <c r="I53" s="59" t="inlineStr"/>
      <c r="J53" s="60" t="inlineStr"/>
    </row>
    <row r="54" ht="30" customHeight="1">
      <c r="A54" s="62" t="inlineStr"/>
      <c r="B54" s="63" t="inlineStr"/>
      <c r="C54" s="63" t="inlineStr"/>
      <c r="D54" s="63" t="inlineStr"/>
      <c r="E54" s="62" t="inlineStr"/>
      <c r="F54" s="82">
        <f>IFERROR(IF(A54="","",IF(I54="Yes","Done",TODAY()-A54)),"")</f>
        <v/>
      </c>
      <c r="G54" s="63" t="inlineStr"/>
      <c r="H54" s="63" t="inlineStr"/>
      <c r="I54" s="62" t="inlineStr"/>
      <c r="J54" s="63" t="inlineStr"/>
    </row>
    <row r="55" ht="30" customHeight="1">
      <c r="A55" s="59" t="inlineStr"/>
      <c r="B55" s="60" t="inlineStr"/>
      <c r="C55" s="60" t="inlineStr"/>
      <c r="D55" s="60" t="inlineStr"/>
      <c r="E55" s="59" t="inlineStr"/>
      <c r="F55" s="82">
        <f>IFERROR(IF(A55="","",IF(I55="Yes","Done",TODAY()-A55)),"")</f>
        <v/>
      </c>
      <c r="G55" s="60" t="inlineStr"/>
      <c r="H55" s="60" t="inlineStr"/>
      <c r="I55" s="59" t="inlineStr"/>
      <c r="J55" s="60" t="inlineStr"/>
    </row>
    <row r="56" ht="30" customHeight="1">
      <c r="A56" s="62" t="inlineStr"/>
      <c r="B56" s="63" t="inlineStr"/>
      <c r="C56" s="63" t="inlineStr"/>
      <c r="D56" s="63" t="inlineStr"/>
      <c r="E56" s="62" t="inlineStr"/>
      <c r="F56" s="82">
        <f>IFERROR(IF(A56="","",IF(I56="Yes","Done",TODAY()-A56)),"")</f>
        <v/>
      </c>
      <c r="G56" s="63" t="inlineStr"/>
      <c r="H56" s="63" t="inlineStr"/>
      <c r="I56" s="62" t="inlineStr"/>
      <c r="J56" s="63" t="inlineStr"/>
    </row>
    <row r="57" ht="30" customHeight="1">
      <c r="A57" s="59" t="inlineStr"/>
      <c r="B57" s="60" t="inlineStr"/>
      <c r="C57" s="60" t="inlineStr"/>
      <c r="D57" s="60" t="inlineStr"/>
      <c r="E57" s="59" t="inlineStr"/>
      <c r="F57" s="82">
        <f>IFERROR(IF(A57="","",IF(I57="Yes","Done",TODAY()-A57)),"")</f>
        <v/>
      </c>
      <c r="G57" s="60" t="inlineStr"/>
      <c r="H57" s="60" t="inlineStr"/>
      <c r="I57" s="59" t="inlineStr"/>
      <c r="J57" s="60" t="inlineStr"/>
    </row>
    <row r="58" ht="30" customHeight="1">
      <c r="A58" s="62" t="inlineStr"/>
      <c r="B58" s="63" t="inlineStr"/>
      <c r="C58" s="63" t="inlineStr"/>
      <c r="D58" s="63" t="inlineStr"/>
      <c r="E58" s="62" t="inlineStr"/>
      <c r="F58" s="82">
        <f>IFERROR(IF(A58="","",IF(I58="Yes","Done",TODAY()-A58)),"")</f>
        <v/>
      </c>
      <c r="G58" s="63" t="inlineStr"/>
      <c r="H58" s="63" t="inlineStr"/>
      <c r="I58" s="62" t="inlineStr"/>
      <c r="J58" s="63" t="inlineStr"/>
    </row>
    <row r="59" ht="30" customHeight="1">
      <c r="A59" s="59" t="inlineStr"/>
      <c r="B59" s="60" t="inlineStr"/>
      <c r="C59" s="60" t="inlineStr"/>
      <c r="D59" s="60" t="inlineStr"/>
      <c r="E59" s="59" t="inlineStr"/>
      <c r="F59" s="82">
        <f>IFERROR(IF(A59="","",IF(I59="Yes","Done",TODAY()-A59)),"")</f>
        <v/>
      </c>
      <c r="G59" s="60" t="inlineStr"/>
      <c r="H59" s="60" t="inlineStr"/>
      <c r="I59" s="59" t="inlineStr"/>
      <c r="J59" s="60" t="inlineStr"/>
    </row>
    <row r="60" ht="30" customHeight="1">
      <c r="A60" s="62" t="inlineStr"/>
      <c r="B60" s="63" t="inlineStr"/>
      <c r="C60" s="63" t="inlineStr"/>
      <c r="D60" s="63" t="inlineStr"/>
      <c r="E60" s="62" t="inlineStr"/>
      <c r="F60" s="82">
        <f>IFERROR(IF(A60="","",IF(I60="Yes","Done",TODAY()-A60)),"")</f>
        <v/>
      </c>
      <c r="G60" s="63" t="inlineStr"/>
      <c r="H60" s="63" t="inlineStr"/>
      <c r="I60" s="62" t="inlineStr"/>
      <c r="J60" s="63" t="inlineStr"/>
    </row>
    <row r="61" ht="30" customHeight="1">
      <c r="A61" s="59" t="inlineStr"/>
      <c r="B61" s="60" t="inlineStr"/>
      <c r="C61" s="60" t="inlineStr"/>
      <c r="D61" s="60" t="inlineStr"/>
      <c r="E61" s="59" t="inlineStr"/>
      <c r="F61" s="82">
        <f>IFERROR(IF(A61="","",IF(I61="Yes","Done",TODAY()-A61)),"")</f>
        <v/>
      </c>
      <c r="G61" s="60" t="inlineStr"/>
      <c r="H61" s="60" t="inlineStr"/>
      <c r="I61" s="59" t="inlineStr"/>
      <c r="J61" s="60" t="inlineStr"/>
    </row>
    <row r="62" ht="30" customHeight="1">
      <c r="A62" s="62" t="inlineStr"/>
      <c r="B62" s="63" t="inlineStr"/>
      <c r="C62" s="63" t="inlineStr"/>
      <c r="D62" s="63" t="inlineStr"/>
      <c r="E62" s="62" t="inlineStr"/>
      <c r="F62" s="82">
        <f>IFERROR(IF(A62="","",IF(I62="Yes","Done",TODAY()-A62)),"")</f>
        <v/>
      </c>
      <c r="G62" s="63" t="inlineStr"/>
      <c r="H62" s="63" t="inlineStr"/>
      <c r="I62" s="62" t="inlineStr"/>
      <c r="J62" s="63" t="inlineStr"/>
    </row>
    <row r="63" ht="30" customHeight="1">
      <c r="A63" s="59" t="inlineStr"/>
      <c r="B63" s="60" t="inlineStr"/>
      <c r="C63" s="60" t="inlineStr"/>
      <c r="D63" s="60" t="inlineStr"/>
      <c r="E63" s="59" t="inlineStr"/>
      <c r="F63" s="82">
        <f>IFERROR(IF(A63="","",IF(I63="Yes","Done",TODAY()-A63)),"")</f>
        <v/>
      </c>
      <c r="G63" s="60" t="inlineStr"/>
      <c r="H63" s="60" t="inlineStr"/>
      <c r="I63" s="59" t="inlineStr"/>
      <c r="J63" s="60" t="inlineStr"/>
    </row>
    <row r="64" ht="30" customHeight="1">
      <c r="A64" s="62" t="inlineStr"/>
      <c r="B64" s="63" t="inlineStr"/>
      <c r="C64" s="63" t="inlineStr"/>
      <c r="D64" s="63" t="inlineStr"/>
      <c r="E64" s="62" t="inlineStr"/>
      <c r="F64" s="82">
        <f>IFERROR(IF(A64="","",IF(I64="Yes","Done",TODAY()-A64)),"")</f>
        <v/>
      </c>
      <c r="G64" s="63" t="inlineStr"/>
      <c r="H64" s="63" t="inlineStr"/>
      <c r="I64" s="62" t="inlineStr"/>
      <c r="J64" s="63" t="inlineStr"/>
    </row>
    <row r="66" ht="8" customHeight="1"/>
    <row r="67" ht="36" customHeight="1">
      <c r="A67" s="83" t="inlineStr">
        <is>
          <t>HOW TO USE: When you log a meeting in 'Daily Log' with a future follow-up date, copy the key details here manually. When Days Overdue &gt; 0 and Status is Open = action required immediately.</t>
        </is>
      </c>
    </row>
  </sheetData>
  <mergeCells count="3">
    <mergeCell ref="A1:J1"/>
    <mergeCell ref="A67:J67"/>
    <mergeCell ref="A2:J2"/>
  </mergeCells>
  <dataValidations count="2">
    <dataValidation sqref="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1" type="list">
      <formula1>"Yes,No,In Progress"</formula1>
    </dataValidation>
    <dataValidation sqref="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0" allowBlank="1" type="list">
      <formula1>"Open,In Progress,Completed,Cancelled"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2026-03-09T11:39:37Z</dcterms:created>
  <dcterms:modified xmlns:dcterms="http://purl.org/dc/terms/" xmlns:xsi="http://www.w3.org/2001/XMLSchema-instance" xsi:type="dcterms:W3CDTF">2026-03-09T11:39:38Z</dcterms:modified>
</cp:coreProperties>
</file>